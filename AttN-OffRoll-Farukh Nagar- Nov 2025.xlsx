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arukh Nagar WareHouse Report\Attendance Nov 2025\"/>
    </mc:Choice>
  </mc:AlternateContent>
  <bookViews>
    <workbookView xWindow="0" yWindow="0" windowWidth="19200" windowHeight="6730"/>
  </bookViews>
  <sheets>
    <sheet name="KBR &amp; Drona Value Chain Sept " sheetId="1" r:id="rId1"/>
    <sheet name="Pending Salary Sept Month " sheetId="7" r:id="rId2"/>
    <sheet name="Sheet2" sheetId="6" state="hidden" r:id="rId3"/>
  </sheets>
  <definedNames>
    <definedName name="_xlnm._FilterDatabase" localSheetId="0" hidden="1">'KBR &amp; Drona Value Chain Sept '!$A$2:$XEZ$326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30" i="1" l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X330" i="1"/>
  <c r="W330" i="1"/>
  <c r="V330" i="1"/>
  <c r="U330" i="1"/>
  <c r="T330" i="1"/>
  <c r="S330" i="1"/>
  <c r="R330" i="1"/>
  <c r="Q330" i="1"/>
  <c r="P330" i="1"/>
  <c r="O330" i="1"/>
  <c r="M330" i="1"/>
  <c r="L330" i="1"/>
  <c r="K330" i="1"/>
  <c r="J330" i="1"/>
  <c r="AL166" i="1" l="1"/>
  <c r="AB66" i="1" l="1"/>
  <c r="Q82" i="1" l="1"/>
  <c r="J82" i="1"/>
  <c r="AI6" i="1"/>
  <c r="AL294" i="1" l="1"/>
  <c r="AL202" i="1" l="1"/>
  <c r="AM110" i="1"/>
  <c r="AM102" i="1"/>
  <c r="AL178" i="1" l="1"/>
  <c r="AK178" i="1"/>
  <c r="AK162" i="1"/>
  <c r="AK154" i="1"/>
  <c r="AK150" i="1"/>
  <c r="AK294" i="1"/>
  <c r="AK266" i="1"/>
  <c r="AL238" i="1"/>
  <c r="AK238" i="1"/>
  <c r="AK222" i="1"/>
  <c r="AK202" i="1"/>
  <c r="AK90" i="1"/>
  <c r="AK86" i="1"/>
  <c r="AK46" i="1"/>
  <c r="AK38" i="1"/>
  <c r="AK26" i="1"/>
  <c r="AL326" i="1" l="1"/>
  <c r="AK326" i="1"/>
  <c r="AI86" i="1"/>
  <c r="AK34" i="1"/>
  <c r="AJ34" i="1"/>
  <c r="AM322" i="1" l="1"/>
  <c r="AL322" i="1"/>
  <c r="AK322" i="1"/>
  <c r="AJ322" i="1"/>
  <c r="AJ318" i="1"/>
  <c r="AL318" i="1"/>
  <c r="AK318" i="1"/>
  <c r="AI314" i="1"/>
  <c r="AJ310" i="1"/>
  <c r="AI310" i="1"/>
  <c r="AL310" i="1"/>
  <c r="AK310" i="1"/>
  <c r="AJ238" i="1"/>
  <c r="AJ202" i="1"/>
  <c r="AA7" i="6" l="1"/>
  <c r="Y7" i="6"/>
  <c r="AB6" i="6"/>
  <c r="AB5" i="6"/>
  <c r="AB4" i="6"/>
  <c r="AB3" i="6"/>
  <c r="AB2" i="6"/>
  <c r="AB7" i="6" s="1"/>
  <c r="R4" i="6"/>
  <c r="R3" i="6"/>
  <c r="Q5" i="6"/>
  <c r="O5" i="6"/>
  <c r="R5" i="6" l="1"/>
  <c r="AL306" i="1"/>
  <c r="AK306" i="1"/>
  <c r="AJ306" i="1"/>
  <c r="AI306" i="1"/>
  <c r="AH306" i="1"/>
  <c r="AG306" i="1"/>
  <c r="AH90" i="1"/>
  <c r="AH46" i="1"/>
  <c r="AH162" i="1" l="1"/>
  <c r="AG150" i="1"/>
  <c r="AG90" i="1" l="1"/>
  <c r="AF174" i="1" l="1"/>
  <c r="AF154" i="1"/>
  <c r="AG302" i="1"/>
  <c r="AG298" i="1"/>
  <c r="AM294" i="1"/>
  <c r="AJ294" i="1"/>
  <c r="AI294" i="1"/>
  <c r="AH294" i="1"/>
  <c r="AG294" i="1"/>
  <c r="AE294" i="1"/>
  <c r="AE290" i="1"/>
  <c r="AD290" i="1"/>
  <c r="AK290" i="1"/>
  <c r="AG290" i="1"/>
  <c r="AC290" i="1"/>
  <c r="AB290" i="1"/>
  <c r="AF282" i="1"/>
  <c r="AG206" i="1"/>
  <c r="AF118" i="1"/>
  <c r="AJ10" i="1"/>
  <c r="AI10" i="1"/>
  <c r="AG10" i="1"/>
  <c r="AF90" i="1" l="1"/>
  <c r="AD178" i="1" l="1"/>
  <c r="AE174" i="1"/>
  <c r="AD198" i="1"/>
  <c r="AD194" i="1"/>
  <c r="AC146" i="1" l="1"/>
  <c r="AC90" i="1"/>
  <c r="AC50" i="1" l="1"/>
  <c r="AC238" i="1"/>
  <c r="AB210" i="1"/>
  <c r="AB182" i="1"/>
  <c r="AB58" i="1"/>
  <c r="AB50" i="1"/>
  <c r="AA18" i="1"/>
  <c r="H12" i="6" l="1"/>
  <c r="G12" i="6"/>
  <c r="F12" i="6"/>
  <c r="E12" i="6"/>
  <c r="D12" i="6"/>
  <c r="H7" i="6"/>
  <c r="G7" i="6"/>
  <c r="F7" i="6"/>
  <c r="E7" i="6"/>
  <c r="D7" i="6"/>
  <c r="H13" i="6" l="1"/>
  <c r="G13" i="6"/>
  <c r="I13" i="6" s="1"/>
  <c r="I15" i="6" s="1"/>
  <c r="S102" i="1"/>
  <c r="AC210" i="1" l="1"/>
  <c r="AL286" i="1" l="1"/>
  <c r="AK286" i="1"/>
  <c r="AJ286" i="1"/>
  <c r="AI286" i="1"/>
  <c r="AH286" i="1"/>
  <c r="AG286" i="1"/>
  <c r="AE286" i="1"/>
  <c r="AD286" i="1"/>
  <c r="AC286" i="1"/>
  <c r="AB286" i="1"/>
  <c r="AA286" i="1"/>
  <c r="Z286" i="1"/>
  <c r="AA182" i="1"/>
  <c r="AA86" i="1"/>
  <c r="Z242" i="1" l="1"/>
  <c r="AA230" i="1"/>
  <c r="AA222" i="1"/>
  <c r="Z102" i="1"/>
  <c r="Z86" i="1"/>
  <c r="Z50" i="1"/>
  <c r="X158" i="1" l="1"/>
  <c r="W274" i="1"/>
  <c r="AM282" i="1"/>
  <c r="AL282" i="1"/>
  <c r="AK282" i="1"/>
  <c r="AJ282" i="1"/>
  <c r="AI282" i="1"/>
  <c r="AH282" i="1"/>
  <c r="AG282" i="1"/>
  <c r="AE282" i="1"/>
  <c r="AD282" i="1"/>
  <c r="AC282" i="1"/>
  <c r="AB282" i="1"/>
  <c r="AA282" i="1"/>
  <c r="Z282" i="1"/>
  <c r="X282" i="1"/>
  <c r="X278" i="1"/>
  <c r="W278" i="1"/>
  <c r="AH274" i="1"/>
  <c r="AG274" i="1"/>
  <c r="AE274" i="1"/>
  <c r="AD274" i="1"/>
  <c r="AC274" i="1"/>
  <c r="AB274" i="1"/>
  <c r="Z274" i="1"/>
  <c r="X274" i="1"/>
  <c r="V274" i="1"/>
  <c r="X206" i="1"/>
  <c r="Z190" i="1"/>
  <c r="X190" i="1"/>
  <c r="X26" i="1"/>
  <c r="Y18" i="1"/>
  <c r="Y6" i="1"/>
  <c r="W178" i="1" l="1"/>
  <c r="W166" i="1"/>
  <c r="W154" i="1"/>
  <c r="W182" i="1"/>
  <c r="V158" i="1" l="1"/>
  <c r="V154" i="1" l="1"/>
  <c r="V206" i="1"/>
  <c r="U206" i="1"/>
  <c r="V182" i="1"/>
  <c r="U154" i="1" l="1"/>
  <c r="U242" i="1"/>
  <c r="U182" i="1"/>
  <c r="V98" i="1"/>
  <c r="Q66" i="1" l="1"/>
  <c r="Q102" i="1"/>
  <c r="S226" i="1" l="1"/>
  <c r="U218" i="1" l="1"/>
  <c r="U114" i="1"/>
  <c r="T114" i="1"/>
  <c r="T214" i="1" l="1"/>
  <c r="T142" i="1"/>
  <c r="T226" i="1" l="1"/>
  <c r="AL270" i="1" l="1"/>
  <c r="AK270" i="1"/>
  <c r="AJ270" i="1"/>
  <c r="AI270" i="1"/>
  <c r="AH270" i="1"/>
  <c r="AG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S166" i="1"/>
  <c r="T162" i="1"/>
  <c r="T66" i="1"/>
  <c r="R166" i="1" l="1"/>
  <c r="S146" i="1"/>
  <c r="Q146" i="1"/>
  <c r="O126" i="1"/>
  <c r="J90" i="1"/>
  <c r="U90" i="1"/>
  <c r="V90" i="1"/>
  <c r="X90" i="1"/>
  <c r="Y90" i="1"/>
  <c r="Z90" i="1"/>
  <c r="AA90" i="1"/>
  <c r="AD90" i="1"/>
  <c r="AL90" i="1"/>
  <c r="Q58" i="1"/>
  <c r="Q46" i="1"/>
  <c r="AN90" i="1" l="1"/>
  <c r="Q210" i="1"/>
  <c r="Q114" i="1"/>
  <c r="Q194" i="1" l="1"/>
  <c r="Q218" i="1"/>
  <c r="Q226" i="1"/>
  <c r="N254" i="1" l="1"/>
  <c r="L254" i="1"/>
  <c r="O226" i="1"/>
  <c r="O218" i="1"/>
  <c r="O214" i="1"/>
  <c r="O206" i="1"/>
  <c r="P198" i="1"/>
  <c r="O198" i="1"/>
  <c r="O194" i="1"/>
  <c r="O74" i="1"/>
  <c r="O66" i="1"/>
  <c r="N198" i="1" l="1"/>
  <c r="M198" i="1"/>
  <c r="N194" i="1"/>
  <c r="O190" i="1"/>
  <c r="M190" i="1"/>
  <c r="N110" i="1"/>
  <c r="N106" i="1"/>
  <c r="N86" i="1"/>
  <c r="M86" i="1"/>
  <c r="N62" i="1"/>
  <c r="N18" i="1"/>
  <c r="M262" i="1" l="1"/>
  <c r="L262" i="1"/>
  <c r="M258" i="1"/>
  <c r="M246" i="1"/>
  <c r="L258" i="1"/>
  <c r="J258" i="1"/>
  <c r="AL266" i="1"/>
  <c r="AJ266" i="1"/>
  <c r="AI266" i="1"/>
  <c r="AH266" i="1"/>
  <c r="AG266" i="1"/>
  <c r="AD266" i="1"/>
  <c r="AC266" i="1"/>
  <c r="AB266" i="1"/>
  <c r="AA266" i="1"/>
  <c r="Z266" i="1"/>
  <c r="X266" i="1"/>
  <c r="W266" i="1"/>
  <c r="V266" i="1"/>
  <c r="U266" i="1"/>
  <c r="T266" i="1"/>
  <c r="S266" i="1"/>
  <c r="Q266" i="1"/>
  <c r="P266" i="1"/>
  <c r="N266" i="1"/>
  <c r="M266" i="1"/>
  <c r="P262" i="1"/>
  <c r="O262" i="1"/>
  <c r="N262" i="1"/>
  <c r="AK258" i="1"/>
  <c r="AJ258" i="1"/>
  <c r="AI258" i="1"/>
  <c r="AG258" i="1"/>
  <c r="AE258" i="1"/>
  <c r="AD258" i="1"/>
  <c r="AC258" i="1"/>
  <c r="AB258" i="1"/>
  <c r="AA258" i="1"/>
  <c r="Z258" i="1"/>
  <c r="X258" i="1"/>
  <c r="W258" i="1"/>
  <c r="V258" i="1"/>
  <c r="T258" i="1"/>
  <c r="S258" i="1"/>
  <c r="P258" i="1"/>
  <c r="O258" i="1"/>
  <c r="L246" i="1" l="1"/>
  <c r="J246" i="1"/>
  <c r="L218" i="1"/>
  <c r="J218" i="1"/>
  <c r="L202" i="1"/>
  <c r="N30" i="1" l="1"/>
  <c r="S250" i="1" l="1"/>
  <c r="AL246" i="1"/>
  <c r="AK246" i="1"/>
  <c r="AJ246" i="1"/>
  <c r="AI246" i="1"/>
  <c r="AH246" i="1"/>
  <c r="AG246" i="1"/>
  <c r="AE246" i="1"/>
  <c r="AD246" i="1"/>
  <c r="AC246" i="1"/>
  <c r="AB246" i="1"/>
  <c r="AA246" i="1"/>
  <c r="Z246" i="1"/>
  <c r="X246" i="1"/>
  <c r="W246" i="1"/>
  <c r="V246" i="1"/>
  <c r="U246" i="1"/>
  <c r="T246" i="1"/>
  <c r="S246" i="1"/>
  <c r="Q246" i="1"/>
  <c r="P246" i="1"/>
  <c r="O246" i="1"/>
  <c r="N246" i="1"/>
  <c r="AM242" i="1"/>
  <c r="AL242" i="1"/>
  <c r="AK242" i="1"/>
  <c r="AJ242" i="1"/>
  <c r="AH242" i="1"/>
  <c r="AG242" i="1"/>
  <c r="AE242" i="1"/>
  <c r="AD242" i="1"/>
  <c r="AC242" i="1"/>
  <c r="AB242" i="1"/>
  <c r="AA242" i="1"/>
  <c r="Y242" i="1"/>
  <c r="X242" i="1"/>
  <c r="W242" i="1"/>
  <c r="V242" i="1"/>
  <c r="T242" i="1"/>
  <c r="S242" i="1"/>
  <c r="Q242" i="1"/>
  <c r="P242" i="1"/>
  <c r="O242" i="1"/>
  <c r="N242" i="1"/>
  <c r="M242" i="1"/>
  <c r="L242" i="1"/>
  <c r="J242" i="1"/>
  <c r="AM238" i="1"/>
  <c r="AI238" i="1"/>
  <c r="AH238" i="1"/>
  <c r="AG238" i="1"/>
  <c r="AE238" i="1"/>
  <c r="AD238" i="1"/>
  <c r="AB238" i="1"/>
  <c r="AA238" i="1"/>
  <c r="Z238" i="1"/>
  <c r="X238" i="1"/>
  <c r="W238" i="1"/>
  <c r="V238" i="1"/>
  <c r="U238" i="1"/>
  <c r="T238" i="1"/>
  <c r="S238" i="1"/>
  <c r="Q238" i="1"/>
  <c r="P238" i="1"/>
  <c r="O238" i="1"/>
  <c r="N238" i="1"/>
  <c r="M238" i="1"/>
  <c r="L238" i="1"/>
  <c r="AL234" i="1"/>
  <c r="AK234" i="1"/>
  <c r="AJ234" i="1"/>
  <c r="AI234" i="1"/>
  <c r="AH234" i="1"/>
  <c r="AG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Q234" i="1"/>
  <c r="P234" i="1"/>
  <c r="O234" i="1"/>
  <c r="M234" i="1"/>
  <c r="L234" i="1"/>
  <c r="AL230" i="1"/>
  <c r="AK230" i="1"/>
  <c r="AJ230" i="1"/>
  <c r="AI230" i="1"/>
  <c r="AH230" i="1"/>
  <c r="AG230" i="1"/>
  <c r="AE230" i="1"/>
  <c r="AD230" i="1"/>
  <c r="AC230" i="1"/>
  <c r="AB230" i="1"/>
  <c r="P230" i="1"/>
  <c r="O230" i="1"/>
  <c r="N230" i="1"/>
  <c r="M230" i="1"/>
  <c r="J230" i="1"/>
  <c r="AC226" i="1"/>
  <c r="AB226" i="1"/>
  <c r="AA226" i="1"/>
  <c r="Z226" i="1"/>
  <c r="X226" i="1"/>
  <c r="W226" i="1"/>
  <c r="V226" i="1"/>
  <c r="U226" i="1"/>
  <c r="P226" i="1"/>
  <c r="N226" i="1"/>
  <c r="M226" i="1"/>
  <c r="L226" i="1"/>
  <c r="J226" i="1"/>
  <c r="AM222" i="1"/>
  <c r="AL222" i="1"/>
  <c r="AJ222" i="1"/>
  <c r="AI222" i="1"/>
  <c r="AH222" i="1"/>
  <c r="AG222" i="1"/>
  <c r="AE222" i="1"/>
  <c r="AD222" i="1"/>
  <c r="AC222" i="1"/>
  <c r="AB222" i="1"/>
  <c r="P222" i="1"/>
  <c r="O222" i="1"/>
  <c r="N222" i="1"/>
  <c r="M222" i="1"/>
  <c r="L222" i="1"/>
  <c r="J222" i="1"/>
  <c r="AC218" i="1"/>
  <c r="AB218" i="1"/>
  <c r="AA218" i="1"/>
  <c r="Z218" i="1"/>
  <c r="X218" i="1"/>
  <c r="W218" i="1"/>
  <c r="V218" i="1"/>
  <c r="S218" i="1"/>
  <c r="P218" i="1"/>
  <c r="N218" i="1"/>
  <c r="M218" i="1"/>
  <c r="AK214" i="1"/>
  <c r="AI214" i="1"/>
  <c r="AH214" i="1"/>
  <c r="AG214" i="1"/>
  <c r="AD214" i="1"/>
  <c r="AC214" i="1"/>
  <c r="AB214" i="1"/>
  <c r="AA214" i="1"/>
  <c r="Z214" i="1"/>
  <c r="X214" i="1"/>
  <c r="W214" i="1"/>
  <c r="V214" i="1"/>
  <c r="U214" i="1"/>
  <c r="M214" i="1"/>
  <c r="L214" i="1"/>
  <c r="J214" i="1"/>
  <c r="AK210" i="1"/>
  <c r="AH210" i="1"/>
  <c r="AE210" i="1"/>
  <c r="Z210" i="1"/>
  <c r="X210" i="1"/>
  <c r="W210" i="1"/>
  <c r="V210" i="1"/>
  <c r="N210" i="1"/>
  <c r="AL206" i="1"/>
  <c r="AK206" i="1"/>
  <c r="AJ206" i="1"/>
  <c r="AI206" i="1"/>
  <c r="AH206" i="1"/>
  <c r="AB206" i="1"/>
  <c r="AA206" i="1"/>
  <c r="Z206" i="1"/>
  <c r="T206" i="1"/>
  <c r="S206" i="1"/>
  <c r="N206" i="1"/>
  <c r="M206" i="1"/>
  <c r="L206" i="1"/>
  <c r="J206" i="1"/>
  <c r="AI202" i="1"/>
  <c r="AH202" i="1"/>
  <c r="AG202" i="1"/>
  <c r="AE202" i="1"/>
  <c r="AD202" i="1"/>
  <c r="AC202" i="1"/>
  <c r="AB202" i="1"/>
  <c r="AA202" i="1"/>
  <c r="Z202" i="1"/>
  <c r="X202" i="1"/>
  <c r="W202" i="1"/>
  <c r="V202" i="1"/>
  <c r="U202" i="1"/>
  <c r="T202" i="1"/>
  <c r="S202" i="1"/>
  <c r="Q202" i="1"/>
  <c r="P202" i="1"/>
  <c r="O202" i="1"/>
  <c r="M202" i="1"/>
  <c r="AL198" i="1"/>
  <c r="AK198" i="1"/>
  <c r="AJ198" i="1"/>
  <c r="AI198" i="1"/>
  <c r="AH198" i="1"/>
  <c r="AG198" i="1"/>
  <c r="AE198" i="1"/>
  <c r="AC198" i="1"/>
  <c r="AB198" i="1"/>
  <c r="AA198" i="1"/>
  <c r="Z198" i="1"/>
  <c r="X198" i="1"/>
  <c r="W198" i="1"/>
  <c r="U198" i="1"/>
  <c r="T198" i="1"/>
  <c r="S198" i="1"/>
  <c r="Q198" i="1"/>
  <c r="J198" i="1"/>
  <c r="AL194" i="1"/>
  <c r="AJ194" i="1"/>
  <c r="AI194" i="1"/>
  <c r="AH194" i="1"/>
  <c r="AG194" i="1"/>
  <c r="AE194" i="1"/>
  <c r="AC194" i="1"/>
  <c r="AB194" i="1"/>
  <c r="AA194" i="1"/>
  <c r="Z194" i="1"/>
  <c r="V194" i="1"/>
  <c r="U194" i="1"/>
  <c r="T194" i="1"/>
  <c r="S194" i="1"/>
  <c r="M194" i="1"/>
  <c r="L194" i="1"/>
  <c r="J194" i="1"/>
  <c r="W190" i="1"/>
  <c r="V190" i="1"/>
  <c r="U190" i="1"/>
  <c r="T190" i="1"/>
  <c r="S190" i="1"/>
  <c r="Q190" i="1"/>
  <c r="L190" i="1"/>
  <c r="K190" i="1"/>
  <c r="J190" i="1"/>
  <c r="AG186" i="1"/>
  <c r="AE186" i="1"/>
  <c r="AD186" i="1"/>
  <c r="AC186" i="1"/>
  <c r="AB186" i="1"/>
  <c r="Z186" i="1"/>
  <c r="X186" i="1"/>
  <c r="W186" i="1"/>
  <c r="V186" i="1"/>
  <c r="U186" i="1"/>
  <c r="T186" i="1"/>
  <c r="S186" i="1"/>
  <c r="Q186" i="1"/>
  <c r="P186" i="1"/>
  <c r="O186" i="1"/>
  <c r="M186" i="1"/>
  <c r="J186" i="1"/>
  <c r="AL182" i="1"/>
  <c r="AK182" i="1"/>
  <c r="AJ182" i="1"/>
  <c r="AI182" i="1"/>
  <c r="AH182" i="1"/>
  <c r="AG182" i="1"/>
  <c r="AE182" i="1"/>
  <c r="AD182" i="1"/>
  <c r="AC182" i="1"/>
  <c r="Z182" i="1"/>
  <c r="X182" i="1"/>
  <c r="T182" i="1"/>
  <c r="S182" i="1"/>
  <c r="Q182" i="1"/>
  <c r="P182" i="1"/>
  <c r="O182" i="1"/>
  <c r="N182" i="1"/>
  <c r="M182" i="1"/>
  <c r="L182" i="1"/>
  <c r="J182" i="1"/>
  <c r="AH178" i="1"/>
  <c r="AG178" i="1"/>
  <c r="AE178" i="1"/>
  <c r="Y178" i="1"/>
  <c r="V178" i="1"/>
  <c r="U178" i="1"/>
  <c r="T178" i="1"/>
  <c r="S178" i="1"/>
  <c r="Q178" i="1"/>
  <c r="O178" i="1"/>
  <c r="N178" i="1"/>
  <c r="M178" i="1"/>
  <c r="L178" i="1"/>
  <c r="J178" i="1"/>
  <c r="AM174" i="1"/>
  <c r="AL174" i="1"/>
  <c r="AK174" i="1"/>
  <c r="AJ174" i="1"/>
  <c r="AI174" i="1"/>
  <c r="AH174" i="1"/>
  <c r="AG174" i="1"/>
  <c r="Y174" i="1"/>
  <c r="X174" i="1"/>
  <c r="W174" i="1"/>
  <c r="V174" i="1"/>
  <c r="U174" i="1"/>
  <c r="T174" i="1"/>
  <c r="Q174" i="1"/>
  <c r="P174" i="1"/>
  <c r="O174" i="1"/>
  <c r="N174" i="1"/>
  <c r="M174" i="1"/>
  <c r="L174" i="1"/>
  <c r="K174" i="1"/>
  <c r="J174" i="1"/>
  <c r="AM170" i="1"/>
  <c r="AL170" i="1"/>
  <c r="AK170" i="1"/>
  <c r="AJ170" i="1"/>
  <c r="AI170" i="1"/>
  <c r="AH170" i="1"/>
  <c r="AG170" i="1"/>
  <c r="AE170" i="1"/>
  <c r="AD170" i="1"/>
  <c r="AC170" i="1"/>
  <c r="AB170" i="1"/>
  <c r="AA170" i="1"/>
  <c r="Z170" i="1"/>
  <c r="X170" i="1"/>
  <c r="W170" i="1"/>
  <c r="V170" i="1"/>
  <c r="U170" i="1"/>
  <c r="T170" i="1"/>
  <c r="S170" i="1"/>
  <c r="Q170" i="1"/>
  <c r="P170" i="1"/>
  <c r="O170" i="1"/>
  <c r="N170" i="1"/>
  <c r="M170" i="1"/>
  <c r="AM166" i="1"/>
  <c r="AK166" i="1"/>
  <c r="AJ166" i="1"/>
  <c r="AH166" i="1"/>
  <c r="AG166" i="1"/>
  <c r="AE166" i="1"/>
  <c r="AD166" i="1"/>
  <c r="AC166" i="1"/>
  <c r="AB166" i="1"/>
  <c r="AA166" i="1"/>
  <c r="Z166" i="1"/>
  <c r="X166" i="1"/>
  <c r="V166" i="1"/>
  <c r="U166" i="1"/>
  <c r="T166" i="1"/>
  <c r="P166" i="1"/>
  <c r="O166" i="1"/>
  <c r="N166" i="1"/>
  <c r="M166" i="1"/>
  <c r="L166" i="1"/>
  <c r="K166" i="1"/>
  <c r="J166" i="1"/>
  <c r="AL162" i="1"/>
  <c r="AJ162" i="1"/>
  <c r="AI162" i="1"/>
  <c r="AG162" i="1"/>
  <c r="AE162" i="1"/>
  <c r="AD162" i="1"/>
  <c r="AC162" i="1"/>
  <c r="AB162" i="1"/>
  <c r="AA162" i="1"/>
  <c r="Z162" i="1"/>
  <c r="Y162" i="1"/>
  <c r="X162" i="1"/>
  <c r="W162" i="1"/>
  <c r="V162" i="1"/>
  <c r="U162" i="1"/>
  <c r="Q162" i="1"/>
  <c r="P162" i="1"/>
  <c r="O162" i="1"/>
  <c r="N162" i="1"/>
  <c r="M162" i="1"/>
  <c r="L162" i="1"/>
  <c r="J162" i="1"/>
  <c r="AB158" i="1"/>
  <c r="AA158" i="1"/>
  <c r="Z158" i="1"/>
  <c r="Y158" i="1"/>
  <c r="W158" i="1"/>
  <c r="Q158" i="1"/>
  <c r="P158" i="1"/>
  <c r="O158" i="1"/>
  <c r="N158" i="1"/>
  <c r="M158" i="1"/>
  <c r="L158" i="1"/>
  <c r="K158" i="1"/>
  <c r="J158" i="1"/>
  <c r="AL154" i="1"/>
  <c r="AJ154" i="1"/>
  <c r="AI154" i="1"/>
  <c r="AH154" i="1"/>
  <c r="AG154" i="1"/>
  <c r="AE154" i="1"/>
  <c r="AD154" i="1"/>
  <c r="AC154" i="1"/>
  <c r="AB154" i="1"/>
  <c r="AA154" i="1"/>
  <c r="Z154" i="1"/>
  <c r="Y154" i="1"/>
  <c r="X154" i="1"/>
  <c r="T154" i="1"/>
  <c r="S154" i="1"/>
  <c r="R154" i="1"/>
  <c r="Q154" i="1"/>
  <c r="P154" i="1"/>
  <c r="O154" i="1"/>
  <c r="AL150" i="1"/>
  <c r="AJ150" i="1"/>
  <c r="AI150" i="1"/>
  <c r="AH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Q150" i="1"/>
  <c r="P150" i="1"/>
  <c r="O150" i="1"/>
  <c r="N150" i="1"/>
  <c r="M150" i="1"/>
  <c r="L150" i="1"/>
  <c r="J150" i="1"/>
  <c r="AJ146" i="1"/>
  <c r="AI146" i="1"/>
  <c r="AH146" i="1"/>
  <c r="AG146" i="1"/>
  <c r="AE146" i="1"/>
  <c r="AD146" i="1"/>
  <c r="AB146" i="1"/>
  <c r="AA146" i="1"/>
  <c r="Z146" i="1"/>
  <c r="X146" i="1"/>
  <c r="W146" i="1"/>
  <c r="V146" i="1"/>
  <c r="U146" i="1"/>
  <c r="P146" i="1"/>
  <c r="O146" i="1"/>
  <c r="N146" i="1"/>
  <c r="M146" i="1"/>
  <c r="L146" i="1"/>
  <c r="J146" i="1"/>
  <c r="AJ142" i="1"/>
  <c r="AI142" i="1"/>
  <c r="AH142" i="1"/>
  <c r="AG142" i="1"/>
  <c r="AE142" i="1"/>
  <c r="AD142" i="1"/>
  <c r="AC142" i="1"/>
  <c r="AB142" i="1"/>
  <c r="AA142" i="1"/>
  <c r="Z142" i="1"/>
  <c r="W142" i="1"/>
  <c r="V142" i="1"/>
  <c r="U142" i="1"/>
  <c r="S142" i="1"/>
  <c r="Q142" i="1"/>
  <c r="P142" i="1"/>
  <c r="O142" i="1"/>
  <c r="N142" i="1"/>
  <c r="M142" i="1"/>
  <c r="AM138" i="1"/>
  <c r="AL138" i="1"/>
  <c r="AK138" i="1"/>
  <c r="AJ138" i="1"/>
  <c r="AI138" i="1"/>
  <c r="AH138" i="1"/>
  <c r="AG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Q138" i="1"/>
  <c r="P138" i="1"/>
  <c r="O138" i="1"/>
  <c r="N138" i="1"/>
  <c r="M138" i="1"/>
  <c r="AL134" i="1"/>
  <c r="AK134" i="1"/>
  <c r="AJ134" i="1"/>
  <c r="AI134" i="1"/>
  <c r="AH134" i="1"/>
  <c r="AG134" i="1"/>
  <c r="AE134" i="1"/>
  <c r="AD134" i="1"/>
  <c r="AC134" i="1"/>
  <c r="AB134" i="1"/>
  <c r="AA134" i="1"/>
  <c r="Z134" i="1"/>
  <c r="X134" i="1"/>
  <c r="W134" i="1"/>
  <c r="V134" i="1"/>
  <c r="U134" i="1"/>
  <c r="T134" i="1"/>
  <c r="S134" i="1"/>
  <c r="Q134" i="1"/>
  <c r="P134" i="1"/>
  <c r="O134" i="1"/>
  <c r="N134" i="1"/>
  <c r="M134" i="1"/>
  <c r="L134" i="1"/>
  <c r="J134" i="1"/>
  <c r="AL130" i="1"/>
  <c r="AK130" i="1"/>
  <c r="AJ130" i="1"/>
  <c r="AI130" i="1"/>
  <c r="AH130" i="1"/>
  <c r="AG130" i="1"/>
  <c r="AE130" i="1"/>
  <c r="AD130" i="1"/>
  <c r="AC130" i="1"/>
  <c r="AB130" i="1"/>
  <c r="AA130" i="1"/>
  <c r="Z130" i="1"/>
  <c r="X130" i="1"/>
  <c r="W130" i="1"/>
  <c r="V130" i="1"/>
  <c r="T130" i="1"/>
  <c r="S130" i="1"/>
  <c r="Q130" i="1"/>
  <c r="J130" i="1"/>
  <c r="AL126" i="1"/>
  <c r="AK126" i="1"/>
  <c r="AJ126" i="1"/>
  <c r="AI126" i="1"/>
  <c r="AH126" i="1"/>
  <c r="AG126" i="1"/>
  <c r="AE126" i="1"/>
  <c r="AD126" i="1"/>
  <c r="AB126" i="1"/>
  <c r="AA126" i="1"/>
  <c r="Z126" i="1"/>
  <c r="Y126" i="1"/>
  <c r="X126" i="1"/>
  <c r="W126" i="1"/>
  <c r="V126" i="1"/>
  <c r="U126" i="1"/>
  <c r="T126" i="1"/>
  <c r="S126" i="1"/>
  <c r="Q126" i="1"/>
  <c r="N126" i="1"/>
  <c r="M126" i="1"/>
  <c r="L126" i="1"/>
  <c r="J126" i="1"/>
  <c r="AM122" i="1"/>
  <c r="AL122" i="1"/>
  <c r="AK122" i="1"/>
  <c r="AJ122" i="1"/>
  <c r="AI122" i="1"/>
  <c r="AH122" i="1"/>
  <c r="AG122" i="1"/>
  <c r="AE122" i="1"/>
  <c r="AD122" i="1"/>
  <c r="AC122" i="1"/>
  <c r="AB122" i="1"/>
  <c r="Z122" i="1"/>
  <c r="Y122" i="1"/>
  <c r="X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AM118" i="1"/>
  <c r="AL118" i="1"/>
  <c r="AK118" i="1"/>
  <c r="AJ118" i="1"/>
  <c r="AI118" i="1"/>
  <c r="AH118" i="1"/>
  <c r="AG118" i="1"/>
  <c r="AD118" i="1"/>
  <c r="AC118" i="1"/>
  <c r="AB118" i="1"/>
  <c r="Z118" i="1"/>
  <c r="Y118" i="1"/>
  <c r="X118" i="1"/>
  <c r="V118" i="1"/>
  <c r="U118" i="1"/>
  <c r="T118" i="1"/>
  <c r="S118" i="1"/>
  <c r="Q118" i="1"/>
  <c r="P118" i="1"/>
  <c r="O118" i="1"/>
  <c r="N118" i="1"/>
  <c r="M118" i="1"/>
  <c r="L118" i="1"/>
  <c r="K118" i="1"/>
  <c r="J118" i="1"/>
  <c r="S114" i="1"/>
  <c r="AL110" i="1"/>
  <c r="AK110" i="1"/>
  <c r="AJ110" i="1"/>
  <c r="AI110" i="1"/>
  <c r="AH110" i="1"/>
  <c r="AE110" i="1"/>
  <c r="AD110" i="1"/>
  <c r="AC110" i="1"/>
  <c r="AB110" i="1"/>
  <c r="AA110" i="1"/>
  <c r="Z110" i="1"/>
  <c r="X110" i="1"/>
  <c r="W110" i="1"/>
  <c r="V110" i="1"/>
  <c r="U110" i="1"/>
  <c r="T110" i="1"/>
  <c r="S110" i="1"/>
  <c r="Q110" i="1"/>
  <c r="P110" i="1"/>
  <c r="O110" i="1"/>
  <c r="M110" i="1"/>
  <c r="L110" i="1"/>
  <c r="J110" i="1"/>
  <c r="P106" i="1"/>
  <c r="O106" i="1"/>
  <c r="M106" i="1"/>
  <c r="L106" i="1"/>
  <c r="J106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Y102" i="1"/>
  <c r="X102" i="1"/>
  <c r="W102" i="1"/>
  <c r="V102" i="1"/>
  <c r="U102" i="1"/>
  <c r="P102" i="1"/>
  <c r="O102" i="1"/>
  <c r="N102" i="1"/>
  <c r="M102" i="1"/>
  <c r="AL98" i="1"/>
  <c r="AK98" i="1"/>
  <c r="AJ98" i="1"/>
  <c r="AI98" i="1"/>
  <c r="AH98" i="1"/>
  <c r="AG98" i="1"/>
  <c r="AE98" i="1"/>
  <c r="AD98" i="1"/>
  <c r="AC98" i="1"/>
  <c r="X98" i="1"/>
  <c r="W98" i="1"/>
  <c r="U98" i="1"/>
  <c r="T98" i="1"/>
  <c r="S98" i="1"/>
  <c r="AL94" i="1"/>
  <c r="AK94" i="1"/>
  <c r="AJ94" i="1"/>
  <c r="AI94" i="1"/>
  <c r="AG94" i="1"/>
  <c r="AE94" i="1"/>
  <c r="AD94" i="1"/>
  <c r="AB94" i="1"/>
  <c r="AA94" i="1"/>
  <c r="Z94" i="1"/>
  <c r="X94" i="1"/>
  <c r="W94" i="1"/>
  <c r="U94" i="1"/>
  <c r="T94" i="1"/>
  <c r="S94" i="1"/>
  <c r="Q94" i="1"/>
  <c r="P94" i="1"/>
  <c r="N94" i="1"/>
  <c r="M94" i="1"/>
  <c r="L94" i="1"/>
  <c r="J94" i="1"/>
  <c r="AL86" i="1"/>
  <c r="AH86" i="1"/>
  <c r="AG86" i="1"/>
  <c r="AD86" i="1"/>
  <c r="AC86" i="1"/>
  <c r="AB86" i="1"/>
  <c r="X86" i="1"/>
  <c r="W86" i="1"/>
  <c r="V86" i="1"/>
  <c r="T86" i="1"/>
  <c r="Q86" i="1"/>
  <c r="P86" i="1"/>
  <c r="L86" i="1"/>
  <c r="AL82" i="1"/>
  <c r="AK82" i="1"/>
  <c r="AJ82" i="1"/>
  <c r="AI82" i="1"/>
  <c r="AG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P82" i="1"/>
  <c r="O82" i="1"/>
  <c r="N82" i="1"/>
  <c r="M82" i="1"/>
  <c r="L82" i="1"/>
  <c r="AL78" i="1"/>
  <c r="AK78" i="1"/>
  <c r="AJ78" i="1"/>
  <c r="AI78" i="1"/>
  <c r="AH78" i="1"/>
  <c r="AG78" i="1"/>
  <c r="AE78" i="1"/>
  <c r="AC78" i="1"/>
  <c r="AB78" i="1"/>
  <c r="AA78" i="1"/>
  <c r="Z78" i="1"/>
  <c r="X78" i="1"/>
  <c r="W78" i="1"/>
  <c r="V78" i="1"/>
  <c r="U78" i="1"/>
  <c r="S78" i="1"/>
  <c r="Q78" i="1"/>
  <c r="P78" i="1"/>
  <c r="O78" i="1"/>
  <c r="N78" i="1"/>
  <c r="M78" i="1"/>
  <c r="L78" i="1"/>
  <c r="J78" i="1"/>
  <c r="S74" i="1"/>
  <c r="Q74" i="1"/>
  <c r="P74" i="1"/>
  <c r="N74" i="1"/>
  <c r="M74" i="1"/>
  <c r="L74" i="1"/>
  <c r="K74" i="1"/>
  <c r="J74" i="1"/>
  <c r="AL70" i="1"/>
  <c r="AK70" i="1"/>
  <c r="AJ70" i="1"/>
  <c r="AI70" i="1"/>
  <c r="AH70" i="1"/>
  <c r="AE70" i="1"/>
  <c r="AD70" i="1"/>
  <c r="AC70" i="1"/>
  <c r="AB70" i="1"/>
  <c r="AA70" i="1"/>
  <c r="W70" i="1"/>
  <c r="V70" i="1"/>
  <c r="U70" i="1"/>
  <c r="Q70" i="1"/>
  <c r="P70" i="1"/>
  <c r="O70" i="1"/>
  <c r="N70" i="1"/>
  <c r="M70" i="1"/>
  <c r="L70" i="1"/>
  <c r="AL66" i="1"/>
  <c r="AK66" i="1"/>
  <c r="AJ66" i="1"/>
  <c r="AI66" i="1"/>
  <c r="AH66" i="1"/>
  <c r="AG66" i="1"/>
  <c r="AE66" i="1"/>
  <c r="AA66" i="1"/>
  <c r="Z66" i="1"/>
  <c r="W66" i="1"/>
  <c r="V66" i="1"/>
  <c r="U66" i="1"/>
  <c r="S66" i="1"/>
  <c r="P66" i="1"/>
  <c r="N66" i="1"/>
  <c r="M66" i="1"/>
  <c r="L66" i="1"/>
  <c r="J66" i="1"/>
  <c r="S62" i="1"/>
  <c r="J62" i="1"/>
  <c r="AL58" i="1"/>
  <c r="AK58" i="1"/>
  <c r="AJ58" i="1"/>
  <c r="AI58" i="1"/>
  <c r="AH58" i="1"/>
  <c r="AG58" i="1"/>
  <c r="AD58" i="1"/>
  <c r="AC58" i="1"/>
  <c r="AA58" i="1"/>
  <c r="Z58" i="1"/>
  <c r="X58" i="1"/>
  <c r="W58" i="1"/>
  <c r="V58" i="1"/>
  <c r="U58" i="1"/>
  <c r="T58" i="1"/>
  <c r="S58" i="1"/>
  <c r="O58" i="1"/>
  <c r="N58" i="1"/>
  <c r="M58" i="1"/>
  <c r="L58" i="1"/>
  <c r="J58" i="1"/>
  <c r="AL54" i="1"/>
  <c r="AK54" i="1"/>
  <c r="AJ54" i="1"/>
  <c r="AI54" i="1"/>
  <c r="AH54" i="1"/>
  <c r="AG54" i="1"/>
  <c r="AE54" i="1"/>
  <c r="AD54" i="1"/>
  <c r="AC54" i="1"/>
  <c r="AB54" i="1"/>
  <c r="AA54" i="1"/>
  <c r="Z54" i="1"/>
  <c r="X54" i="1"/>
  <c r="W54" i="1"/>
  <c r="V54" i="1"/>
  <c r="U54" i="1"/>
  <c r="T54" i="1"/>
  <c r="S54" i="1"/>
  <c r="Q54" i="1"/>
  <c r="P54" i="1"/>
  <c r="O54" i="1"/>
  <c r="N54" i="1"/>
  <c r="M54" i="1"/>
  <c r="L54" i="1"/>
  <c r="J54" i="1"/>
  <c r="AJ50" i="1"/>
  <c r="AI50" i="1"/>
  <c r="AH50" i="1"/>
  <c r="AG50" i="1"/>
  <c r="AE50" i="1"/>
  <c r="AD50" i="1"/>
  <c r="AA50" i="1"/>
  <c r="X50" i="1"/>
  <c r="W50" i="1"/>
  <c r="V50" i="1"/>
  <c r="U50" i="1"/>
  <c r="T50" i="1"/>
  <c r="S50" i="1"/>
  <c r="P50" i="1"/>
  <c r="O50" i="1"/>
  <c r="N50" i="1"/>
  <c r="M50" i="1"/>
  <c r="L50" i="1"/>
  <c r="J50" i="1"/>
  <c r="AL46" i="1"/>
  <c r="AI46" i="1"/>
  <c r="AG46" i="1"/>
  <c r="AE46" i="1"/>
  <c r="AD46" i="1"/>
  <c r="AC46" i="1"/>
  <c r="AA46" i="1"/>
  <c r="Z46" i="1"/>
  <c r="W46" i="1"/>
  <c r="V46" i="1"/>
  <c r="U46" i="1"/>
  <c r="T46" i="1"/>
  <c r="P46" i="1"/>
  <c r="O46" i="1"/>
  <c r="K46" i="1"/>
  <c r="J46" i="1"/>
  <c r="J42" i="1"/>
  <c r="AL38" i="1"/>
  <c r="AJ38" i="1"/>
  <c r="AI38" i="1"/>
  <c r="AH38" i="1"/>
  <c r="AG38" i="1"/>
  <c r="AE38" i="1"/>
  <c r="AD38" i="1"/>
  <c r="AC38" i="1"/>
  <c r="AB38" i="1"/>
  <c r="AA38" i="1"/>
  <c r="Z38" i="1"/>
  <c r="X38" i="1"/>
  <c r="W38" i="1"/>
  <c r="V38" i="1"/>
  <c r="U38" i="1"/>
  <c r="S38" i="1"/>
  <c r="Q38" i="1"/>
  <c r="P38" i="1"/>
  <c r="O38" i="1"/>
  <c r="N38" i="1"/>
  <c r="L38" i="1"/>
  <c r="J38" i="1"/>
  <c r="AL34" i="1"/>
  <c r="AI34" i="1"/>
  <c r="AH34" i="1"/>
  <c r="AG34" i="1"/>
  <c r="AE34" i="1"/>
  <c r="AD34" i="1"/>
  <c r="AC34" i="1"/>
  <c r="AB34" i="1"/>
  <c r="AA34" i="1"/>
  <c r="Z34" i="1"/>
  <c r="X34" i="1"/>
  <c r="W34" i="1"/>
  <c r="V34" i="1"/>
  <c r="U34" i="1"/>
  <c r="T34" i="1"/>
  <c r="S34" i="1"/>
  <c r="R34" i="1"/>
  <c r="Q34" i="1"/>
  <c r="O34" i="1"/>
  <c r="N34" i="1"/>
  <c r="M34" i="1"/>
  <c r="L34" i="1"/>
  <c r="K34" i="1"/>
  <c r="J34" i="1"/>
  <c r="T30" i="1"/>
  <c r="S30" i="1"/>
  <c r="Q30" i="1"/>
  <c r="P30" i="1"/>
  <c r="J30" i="1"/>
  <c r="AL26" i="1"/>
  <c r="AJ26" i="1"/>
  <c r="AI26" i="1"/>
  <c r="AB26" i="1"/>
  <c r="AA26" i="1"/>
  <c r="Z26" i="1"/>
  <c r="W26" i="1"/>
  <c r="V26" i="1"/>
  <c r="U26" i="1"/>
  <c r="S26" i="1"/>
  <c r="Q26" i="1"/>
  <c r="P26" i="1"/>
  <c r="O26" i="1"/>
  <c r="N26" i="1"/>
  <c r="M26" i="1"/>
  <c r="L26" i="1"/>
  <c r="J26" i="1"/>
  <c r="Q22" i="1"/>
  <c r="P22" i="1"/>
  <c r="O22" i="1"/>
  <c r="N22" i="1"/>
  <c r="M22" i="1"/>
  <c r="L22" i="1"/>
  <c r="J22" i="1"/>
  <c r="AL18" i="1"/>
  <c r="AK18" i="1"/>
  <c r="AJ18" i="1"/>
  <c r="AI18" i="1"/>
  <c r="AG18" i="1"/>
  <c r="AD18" i="1"/>
  <c r="AC18" i="1"/>
  <c r="Z18" i="1"/>
  <c r="X18" i="1"/>
  <c r="W18" i="1"/>
  <c r="U18" i="1"/>
  <c r="T18" i="1"/>
  <c r="S18" i="1"/>
  <c r="M18" i="1"/>
  <c r="L18" i="1"/>
  <c r="K18" i="1"/>
  <c r="X14" i="1"/>
  <c r="W14" i="1"/>
  <c r="V14" i="1"/>
  <c r="P14" i="1"/>
  <c r="O14" i="1"/>
  <c r="N14" i="1"/>
  <c r="M14" i="1"/>
  <c r="J10" i="1"/>
  <c r="AL6" i="1"/>
  <c r="AK6" i="1"/>
  <c r="AJ6" i="1"/>
  <c r="AH6" i="1"/>
  <c r="AG6" i="1"/>
  <c r="AF6" i="1"/>
  <c r="AE6" i="1"/>
  <c r="AD6" i="1"/>
  <c r="AC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J6" i="1" l="1"/>
  <c r="AN238" i="1" l="1"/>
  <c r="AN230" i="1"/>
  <c r="AN254" i="1" l="1"/>
  <c r="AN94" i="1" l="1"/>
  <c r="AN246" i="1" l="1"/>
  <c r="AN242" i="1" l="1"/>
  <c r="AN234" i="1" l="1"/>
  <c r="AN226" i="1" l="1"/>
  <c r="AN210" i="1" l="1"/>
  <c r="AN214" i="1"/>
  <c r="AN218" i="1"/>
  <c r="AN222" i="1"/>
  <c r="AN202" i="1" l="1"/>
  <c r="AN206" i="1"/>
  <c r="AN174" i="1" l="1"/>
  <c r="AN158" i="1"/>
  <c r="AN146" i="1"/>
  <c r="AN166" i="1"/>
  <c r="AN178" i="1"/>
  <c r="AN142" i="1"/>
  <c r="AN150" i="1"/>
  <c r="AN134" i="1"/>
  <c r="AN170" i="1"/>
  <c r="AN138" i="1"/>
  <c r="AN162" i="1"/>
  <c r="AN154" i="1"/>
  <c r="AN62" i="1" l="1"/>
  <c r="AN70" i="1"/>
  <c r="AN114" i="1"/>
  <c r="AN50" i="1"/>
  <c r="AN78" i="1"/>
  <c r="AN54" i="1"/>
  <c r="AN30" i="1"/>
  <c r="AN126" i="1"/>
  <c r="AN10" i="1"/>
  <c r="AN38" i="1"/>
  <c r="AN182" i="1"/>
  <c r="AN66" i="1"/>
  <c r="AN98" i="1"/>
  <c r="AN82" i="1"/>
  <c r="AN86" i="1"/>
  <c r="AN186" i="1"/>
  <c r="AN58" i="1"/>
  <c r="AN26" i="1"/>
  <c r="AN102" i="1"/>
  <c r="AN110" i="1"/>
  <c r="AN14" i="1"/>
  <c r="AN34" i="1"/>
  <c r="AN74" i="1"/>
  <c r="AN46" i="1"/>
  <c r="AN194" i="1"/>
  <c r="AN122" i="1"/>
  <c r="AN118" i="1"/>
  <c r="AN6" i="1"/>
  <c r="AN250" i="1"/>
  <c r="AN190" i="1"/>
  <c r="AN198" i="1"/>
  <c r="AN42" i="1"/>
  <c r="AN22" i="1"/>
  <c r="AN18" i="1"/>
  <c r="AN130" i="1"/>
  <c r="AN106" i="1"/>
</calcChain>
</file>

<file path=xl/sharedStrings.xml><?xml version="1.0" encoding="utf-8"?>
<sst xmlns="http://schemas.openxmlformats.org/spreadsheetml/2006/main" count="8881" uniqueCount="328">
  <si>
    <t>Bio Code</t>
  </si>
  <si>
    <t>Designation</t>
  </si>
  <si>
    <t>Father Name</t>
  </si>
  <si>
    <t>Vendor</t>
  </si>
  <si>
    <t>Status</t>
  </si>
  <si>
    <t>A</t>
  </si>
  <si>
    <t>P</t>
  </si>
  <si>
    <t>In Time</t>
  </si>
  <si>
    <t>Out Time</t>
  </si>
  <si>
    <t>Total Hrs</t>
  </si>
  <si>
    <t>Housekeeping</t>
  </si>
  <si>
    <t>Ramesh</t>
  </si>
  <si>
    <t>Mukesh</t>
  </si>
  <si>
    <t>Manoj</t>
  </si>
  <si>
    <t>Ashish</t>
  </si>
  <si>
    <t>Manish Kumar</t>
  </si>
  <si>
    <t>Rahul</t>
  </si>
  <si>
    <t>Inactive</t>
  </si>
  <si>
    <t>Active</t>
  </si>
  <si>
    <t>Subash</t>
  </si>
  <si>
    <t>Naveen</t>
  </si>
  <si>
    <t>Dinesh</t>
  </si>
  <si>
    <t>Ratan Singh</t>
  </si>
  <si>
    <t>Hawa Singh</t>
  </si>
  <si>
    <t>Brajesh</t>
  </si>
  <si>
    <t>Sandeep</t>
  </si>
  <si>
    <t>Rajesh</t>
  </si>
  <si>
    <t>Name</t>
  </si>
  <si>
    <t>Rakesh</t>
  </si>
  <si>
    <t>Krishan Kumar</t>
  </si>
  <si>
    <t>Ram Chander</t>
  </si>
  <si>
    <t>Suresh</t>
  </si>
  <si>
    <t>KBR</t>
  </si>
  <si>
    <t>Date Off Join</t>
  </si>
  <si>
    <t>Fri</t>
  </si>
  <si>
    <t>Sat</t>
  </si>
  <si>
    <t>Sun</t>
  </si>
  <si>
    <t>Mon</t>
  </si>
  <si>
    <t>Tue</t>
  </si>
  <si>
    <t>Wed</t>
  </si>
  <si>
    <t>Thu</t>
  </si>
  <si>
    <t>Supervisor</t>
  </si>
  <si>
    <t>Picker/Packer</t>
  </si>
  <si>
    <t xml:space="preserve">Pritam </t>
  </si>
  <si>
    <t xml:space="preserve">Surajbhan </t>
  </si>
  <si>
    <t>Deependra Awasthi</t>
  </si>
  <si>
    <t xml:space="preserve">Govind Awashti </t>
  </si>
  <si>
    <t>Rohtash</t>
  </si>
  <si>
    <t xml:space="preserve">Rajpal </t>
  </si>
  <si>
    <t>Yash</t>
  </si>
  <si>
    <t>Jitender</t>
  </si>
  <si>
    <t>Rohit</t>
  </si>
  <si>
    <t xml:space="preserve">Brijpal </t>
  </si>
  <si>
    <t>Sanjay</t>
  </si>
  <si>
    <t>Ashok</t>
  </si>
  <si>
    <t xml:space="preserve">Hosiyar Singh </t>
  </si>
  <si>
    <t>Om Prakash</t>
  </si>
  <si>
    <t>Parmod</t>
  </si>
  <si>
    <t>Chetan</t>
  </si>
  <si>
    <t>Mahesh</t>
  </si>
  <si>
    <t>Chander Bhan</t>
  </si>
  <si>
    <t>Inder Raj</t>
  </si>
  <si>
    <t>Laxmi Chand</t>
  </si>
  <si>
    <t>Amar Singh</t>
  </si>
  <si>
    <t>Shiv Charan</t>
  </si>
  <si>
    <t>Dinesh Chand</t>
  </si>
  <si>
    <t>Gugan Singh</t>
  </si>
  <si>
    <t>Vicky</t>
  </si>
  <si>
    <t>Sashi Kant</t>
  </si>
  <si>
    <t>Shyam Lal</t>
  </si>
  <si>
    <t>Krishan</t>
  </si>
  <si>
    <t>Dharminder</t>
  </si>
  <si>
    <t xml:space="preserve">Ajay </t>
  </si>
  <si>
    <t>Vijay Singh</t>
  </si>
  <si>
    <t>Ramphol</t>
  </si>
  <si>
    <t>Santosh</t>
  </si>
  <si>
    <t>Rajender</t>
  </si>
  <si>
    <t>Santram</t>
  </si>
  <si>
    <t>Parshant Kumar</t>
  </si>
  <si>
    <t>Anil</t>
  </si>
  <si>
    <t>Shiv Singh</t>
  </si>
  <si>
    <t>Lakhan</t>
  </si>
  <si>
    <t>Bhanwar</t>
  </si>
  <si>
    <t>Jaipal</t>
  </si>
  <si>
    <t>Jagram</t>
  </si>
  <si>
    <t>Gyauniram</t>
  </si>
  <si>
    <t>Mangatram</t>
  </si>
  <si>
    <t>Uday</t>
  </si>
  <si>
    <t>Surjeet</t>
  </si>
  <si>
    <t>Narayan</t>
  </si>
  <si>
    <t>Chakarpal</t>
  </si>
  <si>
    <t>Veerpal</t>
  </si>
  <si>
    <t>Ashutosh Pandey</t>
  </si>
  <si>
    <t>Ram Raj</t>
  </si>
  <si>
    <t>Veeru</t>
  </si>
  <si>
    <t>Sr.Executive</t>
  </si>
  <si>
    <t>Drona Value chain</t>
  </si>
  <si>
    <t>F00000121</t>
  </si>
  <si>
    <t>F00000116</t>
  </si>
  <si>
    <t>F00000120</t>
  </si>
  <si>
    <t>F00000126</t>
  </si>
  <si>
    <t>F00000122</t>
  </si>
  <si>
    <t>F00000117</t>
  </si>
  <si>
    <t>F00000123</t>
  </si>
  <si>
    <t>F00000119</t>
  </si>
  <si>
    <t>F00000118</t>
  </si>
  <si>
    <t>F00000125</t>
  </si>
  <si>
    <t>F00000127</t>
  </si>
  <si>
    <t>F00000128</t>
  </si>
  <si>
    <t>F00000042</t>
  </si>
  <si>
    <t>Dharambir</t>
  </si>
  <si>
    <t>F00000021</t>
  </si>
  <si>
    <t>F00000026</t>
  </si>
  <si>
    <t>F00000016</t>
  </si>
  <si>
    <t>F00000084</t>
  </si>
  <si>
    <t>F00000017</t>
  </si>
  <si>
    <t>F00000089</t>
  </si>
  <si>
    <t>F00000004</t>
  </si>
  <si>
    <t>F00000012</t>
  </si>
  <si>
    <t>F00000091</t>
  </si>
  <si>
    <t>F00000003</t>
  </si>
  <si>
    <t>F00000005</t>
  </si>
  <si>
    <t>F00000045</t>
  </si>
  <si>
    <t>F00000048</t>
  </si>
  <si>
    <t>F00000087</t>
  </si>
  <si>
    <t>F00000068</t>
  </si>
  <si>
    <t>F00000047</t>
  </si>
  <si>
    <t>F00000030</t>
  </si>
  <si>
    <t>F00000075</t>
  </si>
  <si>
    <t>F00000070</t>
  </si>
  <si>
    <t>F00000060</t>
  </si>
  <si>
    <t>F00000061</t>
  </si>
  <si>
    <t>F00000025</t>
  </si>
  <si>
    <t>F00000023</t>
  </si>
  <si>
    <t>F00000056</t>
  </si>
  <si>
    <t>F00000053</t>
  </si>
  <si>
    <t>F00000027</t>
  </si>
  <si>
    <t>F00000115</t>
  </si>
  <si>
    <t>F00000032</t>
  </si>
  <si>
    <t>F00000077</t>
  </si>
  <si>
    <t>F00000036</t>
  </si>
  <si>
    <t>Samay Singh</t>
  </si>
  <si>
    <t>Mageram</t>
  </si>
  <si>
    <t>Param Singh</t>
  </si>
  <si>
    <t>Dhiru Singh</t>
  </si>
  <si>
    <t>Ram Bhagat</t>
  </si>
  <si>
    <t>Raj Singh</t>
  </si>
  <si>
    <t>Mahabir</t>
  </si>
  <si>
    <t>Naresh Kumar</t>
  </si>
  <si>
    <t>Jamliya Parsad</t>
  </si>
  <si>
    <t>Charan Singh</t>
  </si>
  <si>
    <t>Virender</t>
  </si>
  <si>
    <t>Sahab Singh</t>
  </si>
  <si>
    <t>Pawan</t>
  </si>
  <si>
    <t>Jaibhinder</t>
  </si>
  <si>
    <t>Amit Kumar</t>
  </si>
  <si>
    <t>Pawan Sharma</t>
  </si>
  <si>
    <t>Loading/Unloading</t>
  </si>
  <si>
    <t>Deo</t>
  </si>
  <si>
    <t>F00000141</t>
  </si>
  <si>
    <t>F00000156</t>
  </si>
  <si>
    <t>F00000157</t>
  </si>
  <si>
    <t>F00000158</t>
  </si>
  <si>
    <t>F00000160</t>
  </si>
  <si>
    <t>F00000161</t>
  </si>
  <si>
    <t>F00000165</t>
  </si>
  <si>
    <t>Jai Bhagwhan</t>
  </si>
  <si>
    <t>Chheda Lal</t>
  </si>
  <si>
    <t>Munshi Ram</t>
  </si>
  <si>
    <t>Baladeen</t>
  </si>
  <si>
    <t>Anand Sharma</t>
  </si>
  <si>
    <t>Gopal</t>
  </si>
  <si>
    <t>Kishanmurti Pandey</t>
  </si>
  <si>
    <t>Raj Kumar</t>
  </si>
  <si>
    <t>Surender Sharma</t>
  </si>
  <si>
    <t>Sher Singh</t>
  </si>
  <si>
    <t>Amar Kumar</t>
  </si>
  <si>
    <t>F00000168</t>
  </si>
  <si>
    <t>F00000170</t>
  </si>
  <si>
    <t>F00000171</t>
  </si>
  <si>
    <t>Ramavtar</t>
  </si>
  <si>
    <t xml:space="preserve">Dhiraj </t>
  </si>
  <si>
    <t>Jai Pal</t>
  </si>
  <si>
    <t>F00000175</t>
  </si>
  <si>
    <t>F00000176</t>
  </si>
  <si>
    <t>F00000178</t>
  </si>
  <si>
    <t>F00000179</t>
  </si>
  <si>
    <t>Lalit</t>
  </si>
  <si>
    <t>Tej Pal</t>
  </si>
  <si>
    <t>Rambir Singh</t>
  </si>
  <si>
    <t>Ramachal</t>
  </si>
  <si>
    <t>F00000187</t>
  </si>
  <si>
    <t>F00000189</t>
  </si>
  <si>
    <t>Ramnivash</t>
  </si>
  <si>
    <t>Ravi Kumar</t>
  </si>
  <si>
    <t>F00000199</t>
  </si>
  <si>
    <t>Gokul</t>
  </si>
  <si>
    <t>PramBabu</t>
  </si>
  <si>
    <t>F00000203</t>
  </si>
  <si>
    <t>p</t>
  </si>
  <si>
    <t>Nasim Khan</t>
  </si>
  <si>
    <t>Ibress Khan</t>
  </si>
  <si>
    <t>F00000207</t>
  </si>
  <si>
    <t>F00000210</t>
  </si>
  <si>
    <t>Manish</t>
  </si>
  <si>
    <t>F00000214</t>
  </si>
  <si>
    <t>Jai Parkash</t>
  </si>
  <si>
    <t>F00000090</t>
  </si>
  <si>
    <t>Rishabh</t>
  </si>
  <si>
    <t>F00000069</t>
  </si>
  <si>
    <t>Mahesh Yadav</t>
  </si>
  <si>
    <t xml:space="preserve">Naresh </t>
  </si>
  <si>
    <t>Exective</t>
  </si>
  <si>
    <t>Faruk Nagar Attendance Sheet November 2025</t>
  </si>
  <si>
    <t>Shyam Singh</t>
  </si>
  <si>
    <t>L</t>
  </si>
  <si>
    <t>Om Prakesh</t>
  </si>
  <si>
    <t>Sukhbir Singh</t>
  </si>
  <si>
    <t>Manbir Singh</t>
  </si>
  <si>
    <t>Prabhu Dayal</t>
  </si>
  <si>
    <t>Dhruv</t>
  </si>
  <si>
    <t>Suman Kumar</t>
  </si>
  <si>
    <t>Rishi</t>
  </si>
  <si>
    <t xml:space="preserve">Naveen </t>
  </si>
  <si>
    <t>Dharabir</t>
  </si>
  <si>
    <t xml:space="preserve">Godan </t>
  </si>
  <si>
    <t>Kaushal</t>
  </si>
  <si>
    <t>D.P</t>
  </si>
  <si>
    <t>HK</t>
  </si>
  <si>
    <t>OFFLINE</t>
  </si>
  <si>
    <t>Inward</t>
  </si>
  <si>
    <t>QC FTL</t>
  </si>
  <si>
    <t>Inventory</t>
  </si>
  <si>
    <t>E-com FTL</t>
  </si>
  <si>
    <t>HR12</t>
  </si>
  <si>
    <t xml:space="preserve">QC PTL </t>
  </si>
  <si>
    <t>RTO-11</t>
  </si>
  <si>
    <t>Loading</t>
  </si>
  <si>
    <t>B2C</t>
  </si>
  <si>
    <t>TOTAL DAYS</t>
  </si>
  <si>
    <t xml:space="preserve">Segment </t>
  </si>
  <si>
    <t xml:space="preserve"> Qty/Daily </t>
  </si>
  <si>
    <t xml:space="preserve"> CBM </t>
  </si>
  <si>
    <t xml:space="preserve">Picker </t>
  </si>
  <si>
    <t xml:space="preserve">Packer </t>
  </si>
  <si>
    <t>DEO</t>
  </si>
  <si>
    <t>Loader</t>
  </si>
  <si>
    <t>Leaders</t>
  </si>
  <si>
    <t xml:space="preserve">Edel </t>
  </si>
  <si>
    <t xml:space="preserve">       20,000 </t>
  </si>
  <si>
    <t xml:space="preserve"> NA </t>
  </si>
  <si>
    <t xml:space="preserve">Pawan </t>
  </si>
  <si>
    <t>Q-Com.</t>
  </si>
  <si>
    <t xml:space="preserve">       10,000 </t>
  </si>
  <si>
    <t>E-Com.</t>
  </si>
  <si>
    <t xml:space="preserve">         8,000 </t>
  </si>
  <si>
    <t xml:space="preserve">Offline </t>
  </si>
  <si>
    <t xml:space="preserve">         4,000 </t>
  </si>
  <si>
    <t xml:space="preserve">Amar </t>
  </si>
  <si>
    <t xml:space="preserve">            200 </t>
  </si>
  <si>
    <t xml:space="preserve">Omprakash </t>
  </si>
  <si>
    <t xml:space="preserve">Daily Target </t>
  </si>
  <si>
    <t xml:space="preserve">       42,200 </t>
  </si>
  <si>
    <t xml:space="preserve">       50,000 </t>
  </si>
  <si>
    <t xml:space="preserve">Narayan </t>
  </si>
  <si>
    <t>Returns</t>
  </si>
  <si>
    <t xml:space="preserve">         7,500 </t>
  </si>
  <si>
    <t xml:space="preserve">Chakrapal </t>
  </si>
  <si>
    <t xml:space="preserve">Inventory </t>
  </si>
  <si>
    <t xml:space="preserve">Total </t>
  </si>
  <si>
    <t>G. Total</t>
  </si>
  <si>
    <t xml:space="preserve">Current Manpower </t>
  </si>
  <si>
    <t xml:space="preserve">Shortfall </t>
  </si>
  <si>
    <t xml:space="preserve">Designation </t>
  </si>
  <si>
    <t xml:space="preserve">Count </t>
  </si>
  <si>
    <t xml:space="preserve">Unloader </t>
  </si>
  <si>
    <t>F00000055</t>
  </si>
  <si>
    <t>F00000133</t>
  </si>
  <si>
    <t>F00000144</t>
  </si>
  <si>
    <t>F00000188</t>
  </si>
  <si>
    <t>F00000198</t>
  </si>
  <si>
    <t>Rejoin</t>
  </si>
  <si>
    <t>New</t>
  </si>
  <si>
    <t>Durgesh</t>
  </si>
  <si>
    <t>Sravesh</t>
  </si>
  <si>
    <t>Puspender</t>
  </si>
  <si>
    <t>Sarjeet</t>
  </si>
  <si>
    <t>Hari Kishan</t>
  </si>
  <si>
    <t>Attar Singh</t>
  </si>
  <si>
    <t>Active Picker</t>
  </si>
  <si>
    <t>Required Picker</t>
  </si>
  <si>
    <t>Vivak</t>
  </si>
  <si>
    <t>Active Loading &amp; Unloading</t>
  </si>
  <si>
    <t>Required Loading &amp; Unloading</t>
  </si>
  <si>
    <t>Active DEO</t>
  </si>
  <si>
    <t>Required DEO</t>
  </si>
  <si>
    <t>Active Supervisor</t>
  </si>
  <si>
    <t>Required Supervisor</t>
  </si>
  <si>
    <t>Active Exectuive</t>
  </si>
  <si>
    <t>Requried Exectuive</t>
  </si>
  <si>
    <t>Total Required Manpower</t>
  </si>
  <si>
    <t>Total Active Manpower</t>
  </si>
  <si>
    <t>As Per Required</t>
  </si>
  <si>
    <t xml:space="preserve">Required Count </t>
  </si>
  <si>
    <t xml:space="preserve">Active Count </t>
  </si>
  <si>
    <t>Farukh Nagar Warehouse ManPower Details</t>
  </si>
  <si>
    <t>Pardeep</t>
  </si>
  <si>
    <t xml:space="preserve">Dinesh </t>
  </si>
  <si>
    <t>Lal Babu</t>
  </si>
  <si>
    <t>Prinshu</t>
  </si>
  <si>
    <t>Ramu</t>
  </si>
  <si>
    <t>Suraj</t>
  </si>
  <si>
    <t>Aklish Kumar</t>
  </si>
  <si>
    <t>Dablu</t>
  </si>
  <si>
    <t>Shift</t>
  </si>
  <si>
    <t>Dept</t>
  </si>
  <si>
    <t>Days</t>
  </si>
  <si>
    <t>F00000215</t>
  </si>
  <si>
    <t>Day</t>
  </si>
  <si>
    <t>Neeraj</t>
  </si>
  <si>
    <t>Premchand</t>
  </si>
  <si>
    <t>F00000169</t>
  </si>
  <si>
    <t>Harpal Singh</t>
  </si>
  <si>
    <t>Deepak</t>
  </si>
  <si>
    <t>HR Admin</t>
  </si>
  <si>
    <t>Munni Lal</t>
  </si>
  <si>
    <t>W/OFF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</si>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</sst>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_ * #,##0.00_ ;_ * \-#,##0.00_ ;_ * &quot;-&quot;??_ ;_ @_ "/>
  </numFmts>
  <fonts count="22">
    <font>
      <sz val="11"/>
      <color theme="1"/>
      <name val="Aptos Narrow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  <font>
      <sz val="10"/>
      <name val="Arial"/>
      <family val="2"/>
    </font>
    <font>
      <sz val="8"/>
      <color theme="1"/>
      <name val="Aptos Narrow"/>
      <family val="2"/>
      <scheme val="minor"/>
    </font>
    <font>
      <sz val="8"/>
      <color rgb="FF111111"/>
      <name val="Aptos Narrow"/>
      <scheme val="minor"/>
    </font>
    <font>
      <sz val="8"/>
      <color rgb="FF000000"/>
      <name val="Calibri"/>
      <family val="2"/>
    </font>
    <font>
      <b/>
      <sz val="11"/>
      <color rgb="FFFF0000"/>
      <name val="Aptos Narrow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FF0000"/>
      <name val="Calibri"/>
      <family val="2"/>
    </font>
    <font>
      <sz val="10"/>
      <color rgb="FFFF0000"/>
      <name val="Aptos Narrow"/>
    </font>
    <font>
      <sz val="9"/>
      <color rgb="FF11111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8"/>
      <color rgb="FFFF0000"/>
      <name val="Aptos Narrow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242424"/>
      <name val="Segoe UI"/>
      <family val="2"/>
    </font>
    <font>
      <b/>
      <sz val="11"/>
      <color theme="1"/>
      <name val="Aptos Narrow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Calibri"/>
      <family val="2"/>
    </font>
    <font>
      <sz val="8"/>
      <color rgb="FF000000"/>
      <name val="Aptos Narrow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rgb="FF94DCF8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2" tint="-0.249977111117893"/>
        <bgColor rgb="FF94DCF8"/>
      </patternFill>
    </fill>
    <fill>
      <patternFill patternType="solid">
        <fgColor rgb="FFFFFF00"/>
        <bgColor rgb="FFD0D0D0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3" fillId="0" borderId="0">
      <alignment wrapText="1"/>
    </xf>
    <xf numFmtId="165" fontId="8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6">
    <xf numFmtId="0" fontId="0" fillId="0" borderId="0" xfId="0"/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9" fillId="0" borderId="1" xfId="2" applyNumberFormat="1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6" fillId="6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20" fontId="2" fillId="7" borderId="1" xfId="0" applyNumberFormat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16" fontId="11" fillId="9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10" borderId="1" xfId="0" applyFont="1" applyFill="1" applyBorder="1" applyAlignment="1"/>
    <xf numFmtId="16" fontId="14" fillId="9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5" fillId="0" borderId="1" xfId="0" applyFont="1" applyFill="1" applyBorder="1" applyAlignment="1">
      <alignment horizontal="center" vertic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vertical="center"/>
    </xf>
    <xf numFmtId="0" fontId="13" fillId="10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/>
    <xf numFmtId="0" fontId="13" fillId="10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20" fontId="1" fillId="4" borderId="1" xfId="0" applyNumberFormat="1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wrapText="1"/>
    </xf>
    <xf numFmtId="0" fontId="1" fillId="0" borderId="1" xfId="0" applyFont="1" applyBorder="1"/>
    <xf numFmtId="0" fontId="7" fillId="10" borderId="1" xfId="0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8" fillId="4" borderId="5" xfId="0" applyFont="1" applyFill="1" applyBorder="1" applyAlignment="1">
      <alignment horizontal="center"/>
    </xf>
    <xf numFmtId="0" fontId="18" fillId="4" borderId="0" xfId="0" applyFont="1" applyFill="1" applyAlignment="1">
      <alignment horizontal="center"/>
    </xf>
    <xf numFmtId="0" fontId="20" fillId="13" borderId="1" xfId="0" applyFont="1" applyFill="1" applyBorder="1" applyAlignment="1">
      <alignment horizontal="center" vertical="center" wrapText="1"/>
    </xf>
    <xf numFmtId="16" fontId="21" fillId="14" borderId="1" xfId="0" applyNumberFormat="1" applyFon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19" fillId="16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164" fontId="6" fillId="17" borderId="1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20" fontId="2" fillId="18" borderId="1" xfId="0" applyNumberFormat="1" applyFont="1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1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5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</cellXfs>
  <cellStyles count="4">
    <cellStyle name="Comma 2" xfId="2"/>
    <cellStyle name="Normal" xfId="0" builtinId="0"/>
    <cellStyle name="Normal 11" xfId="3"/>
    <cellStyle name="Normal 2" xfId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XEZ330"/>
  <sheetViews>
    <sheetView tabSelected="1" topLeftCell="V1" workbookViewId="0">
      <pane ySplit="2" topLeftCell="A3" activePane="bottomLeft" state="frozen"/>
      <selection pane="bottomLeft" activeCell="AM4" sqref="AM4"/>
    </sheetView>
  </sheetViews>
  <sheetFormatPr defaultColWidth="8.6640625" defaultRowHeight="14"/>
  <cols>
    <col min="1" max="1" width="7.4140625" style="9" bestFit="1" customWidth="1"/>
    <col min="2" max="2" width="7.08203125" style="9" customWidth="1"/>
    <col min="3" max="3" width="12.58203125" style="9" bestFit="1" customWidth="1"/>
    <col min="4" max="4" width="12.25" style="9" bestFit="1" customWidth="1"/>
    <col min="5" max="5" width="9.75" style="9" customWidth="1"/>
    <col min="6" max="6" width="9.58203125" style="9" customWidth="1"/>
    <col min="7" max="7" width="11.83203125" style="9" bestFit="1" customWidth="1"/>
    <col min="8" max="8" width="9.33203125" style="9" customWidth="1"/>
    <col min="9" max="9" width="5.58203125" style="9" bestFit="1" customWidth="1"/>
    <col min="10" max="18" width="5" style="9" customWidth="1"/>
    <col min="19" max="39" width="5.9140625" style="9" customWidth="1"/>
    <col min="40" max="40" width="8.6640625" style="18" customWidth="1"/>
    <col min="41" max="16384" width="8.6640625" style="18"/>
  </cols>
  <sheetData>
    <row r="1" spans="1:41">
      <c r="A1" s="58" t="s">
        <v>213</v>
      </c>
      <c r="B1" s="58"/>
      <c r="C1" s="58"/>
      <c r="D1" s="58"/>
      <c r="E1" s="58"/>
      <c r="F1" s="32"/>
      <c r="G1" s="32"/>
      <c r="H1" s="32"/>
      <c r="I1" s="32"/>
      <c r="J1" s="29" t="s">
        <v>35</v>
      </c>
      <c r="K1" s="30" t="s">
        <v>36</v>
      </c>
      <c r="L1" s="29" t="s">
        <v>37</v>
      </c>
      <c r="M1" s="29" t="s">
        <v>38</v>
      </c>
      <c r="N1" s="29" t="s">
        <v>39</v>
      </c>
      <c r="O1" s="29" t="s">
        <v>40</v>
      </c>
      <c r="P1" s="29" t="s">
        <v>34</v>
      </c>
      <c r="Q1" s="29" t="s">
        <v>35</v>
      </c>
      <c r="R1" s="30" t="s">
        <v>36</v>
      </c>
      <c r="S1" s="29" t="s">
        <v>37</v>
      </c>
      <c r="T1" s="29" t="s">
        <v>38</v>
      </c>
      <c r="U1" s="29" t="s">
        <v>39</v>
      </c>
      <c r="V1" s="29" t="s">
        <v>40</v>
      </c>
      <c r="W1" s="29" t="s">
        <v>34</v>
      </c>
      <c r="X1" s="29" t="s">
        <v>35</v>
      </c>
      <c r="Y1" s="30" t="s">
        <v>36</v>
      </c>
      <c r="Z1" s="29" t="s">
        <v>37</v>
      </c>
      <c r="AA1" s="29" t="s">
        <v>38</v>
      </c>
      <c r="AB1" s="29" t="s">
        <v>39</v>
      </c>
      <c r="AC1" s="29" t="s">
        <v>40</v>
      </c>
      <c r="AD1" s="29" t="s">
        <v>34</v>
      </c>
      <c r="AE1" s="29" t="s">
        <v>35</v>
      </c>
      <c r="AF1" s="30" t="s">
        <v>36</v>
      </c>
      <c r="AG1" s="29" t="s">
        <v>37</v>
      </c>
      <c r="AH1" s="29" t="s">
        <v>38</v>
      </c>
      <c r="AI1" s="29" t="s">
        <v>39</v>
      </c>
      <c r="AJ1" s="29" t="s">
        <v>40</v>
      </c>
      <c r="AK1" s="29" t="s">
        <v>34</v>
      </c>
      <c r="AL1" s="29" t="s">
        <v>35</v>
      </c>
      <c r="AM1" s="30" t="s">
        <v>36</v>
      </c>
      <c r="AN1" s="4"/>
      <c r="AO1" s="20"/>
    </row>
    <row r="2" spans="1:41" s="19" customFormat="1" ht="18.5" customHeight="1">
      <c r="A2" s="26" t="s">
        <v>0</v>
      </c>
      <c r="B2" s="26" t="s">
        <v>227</v>
      </c>
      <c r="C2" s="26" t="s">
        <v>27</v>
      </c>
      <c r="D2" s="26" t="s">
        <v>1</v>
      </c>
      <c r="E2" s="26" t="s">
        <v>2</v>
      </c>
      <c r="F2" s="28" t="s">
        <v>33</v>
      </c>
      <c r="G2" s="26" t="s">
        <v>3</v>
      </c>
      <c r="H2" s="26" t="s">
        <v>4</v>
      </c>
      <c r="I2" s="26" t="s">
        <v>4</v>
      </c>
      <c r="J2" s="27">
        <v>45962</v>
      </c>
      <c r="K2" s="27">
        <v>45963</v>
      </c>
      <c r="L2" s="27">
        <v>45964</v>
      </c>
      <c r="M2" s="27">
        <v>45965</v>
      </c>
      <c r="N2" s="27">
        <v>45966</v>
      </c>
      <c r="O2" s="27">
        <v>45967</v>
      </c>
      <c r="P2" s="27">
        <v>45968</v>
      </c>
      <c r="Q2" s="27">
        <v>45969</v>
      </c>
      <c r="R2" s="27">
        <v>45970</v>
      </c>
      <c r="S2" s="27">
        <v>45971</v>
      </c>
      <c r="T2" s="27">
        <v>45972</v>
      </c>
      <c r="U2" s="27">
        <v>45973</v>
      </c>
      <c r="V2" s="27">
        <v>45974</v>
      </c>
      <c r="W2" s="27">
        <v>45975</v>
      </c>
      <c r="X2" s="27">
        <v>45976</v>
      </c>
      <c r="Y2" s="27">
        <v>45977</v>
      </c>
      <c r="Z2" s="27">
        <v>45978</v>
      </c>
      <c r="AA2" s="27">
        <v>45979</v>
      </c>
      <c r="AB2" s="27">
        <v>45980</v>
      </c>
      <c r="AC2" s="27">
        <v>45981</v>
      </c>
      <c r="AD2" s="27">
        <v>45982</v>
      </c>
      <c r="AE2" s="27">
        <v>45983</v>
      </c>
      <c r="AF2" s="27">
        <v>45984</v>
      </c>
      <c r="AG2" s="27">
        <v>45985</v>
      </c>
      <c r="AH2" s="27">
        <v>45986</v>
      </c>
      <c r="AI2" s="27">
        <v>45987</v>
      </c>
      <c r="AJ2" s="27">
        <v>45988</v>
      </c>
      <c r="AK2" s="27">
        <v>45989</v>
      </c>
      <c r="AL2" s="27">
        <v>45990</v>
      </c>
      <c r="AM2" s="27">
        <v>45991</v>
      </c>
      <c r="AN2" s="33" t="s">
        <v>239</v>
      </c>
      <c r="AO2" s="26" t="s">
        <v>4</v>
      </c>
    </row>
    <row r="3" spans="1:41">
      <c r="A3" s="8" t="s">
        <v>120</v>
      </c>
      <c r="B3" s="12" t="s">
        <v>228</v>
      </c>
      <c r="C3" s="10" t="s">
        <v>13</v>
      </c>
      <c r="D3" s="10" t="s">
        <v>10</v>
      </c>
      <c r="E3" s="10" t="s">
        <v>66</v>
      </c>
      <c r="F3" s="11">
        <v>45870</v>
      </c>
      <c r="G3" s="12" t="s">
        <v>32</v>
      </c>
      <c r="H3" s="12" t="s">
        <v>18</v>
      </c>
      <c r="I3" s="13" t="s">
        <v>4</v>
      </c>
      <c r="J3" s="2" t="s">
        <v>6</v>
      </c>
      <c r="K3" s="2" t="s">
        <v>5</v>
      </c>
      <c r="L3" s="2" t="s">
        <v>5</v>
      </c>
      <c r="M3" s="2" t="s">
        <v>6</v>
      </c>
      <c r="N3" s="2" t="s">
        <v>6</v>
      </c>
      <c r="O3" s="2" t="s">
        <v>6</v>
      </c>
      <c r="P3" s="2" t="s">
        <v>6</v>
      </c>
      <c r="Q3" s="2" t="s">
        <v>6</v>
      </c>
      <c r="R3" s="2" t="s">
        <v>6</v>
      </c>
      <c r="S3" s="2" t="s">
        <v>6</v>
      </c>
      <c r="T3" s="2" t="s">
        <v>6</v>
      </c>
      <c r="U3" s="2" t="s">
        <v>6</v>
      </c>
      <c r="V3" s="2" t="s">
        <v>6</v>
      </c>
      <c r="W3" s="2" t="s">
        <v>6</v>
      </c>
      <c r="X3" s="2" t="s">
        <v>6</v>
      </c>
      <c r="Y3" s="2" t="s">
        <v>6</v>
      </c>
      <c r="Z3" s="2" t="s">
        <v>6</v>
      </c>
      <c r="AA3" s="2" t="s">
        <v>6</v>
      </c>
      <c r="AB3" s="2" t="s">
        <v>6</v>
      </c>
      <c r="AC3" s="2" t="s">
        <v>6</v>
      </c>
      <c r="AD3" s="2" t="s">
        <v>6</v>
      </c>
      <c r="AE3" s="2" t="s">
        <v>6</v>
      </c>
      <c r="AF3" s="2" t="s">
        <v>6</v>
      </c>
      <c r="AG3" s="2" t="s">
        <v>6</v>
      </c>
      <c r="AH3" s="2" t="s">
        <v>6</v>
      </c>
      <c r="AI3" s="2" t="s">
        <v>6</v>
      </c>
      <c r="AJ3" s="2" t="s">
        <v>6</v>
      </c>
      <c r="AK3" s="2" t="s">
        <v>6</v>
      </c>
      <c r="AL3" s="2" t="s">
        <v>6</v>
      </c>
      <c r="AM3" s="2" t="s">
        <v>5</v>
      </c>
      <c r="AN3" s="20"/>
      <c r="AO3" s="12" t="s">
        <v>18</v>
      </c>
    </row>
    <row r="4" spans="1:41">
      <c r="A4" s="1" t="s">
        <v>120</v>
      </c>
      <c r="B4" s="12" t="s">
        <v>228</v>
      </c>
      <c r="C4" s="1" t="s">
        <v>13</v>
      </c>
      <c r="D4" s="1" t="s">
        <v>10</v>
      </c>
      <c r="E4" s="1" t="s">
        <v>66</v>
      </c>
      <c r="F4" s="6">
        <v>45870</v>
      </c>
      <c r="G4" s="1" t="s">
        <v>32</v>
      </c>
      <c r="H4" s="12" t="s">
        <v>18</v>
      </c>
      <c r="I4" s="7" t="s">
        <v>7</v>
      </c>
      <c r="J4" s="2">
        <v>0.375</v>
      </c>
      <c r="K4" s="2" t="s">
        <v>5</v>
      </c>
      <c r="L4" s="2" t="s">
        <v>5</v>
      </c>
      <c r="M4" s="2">
        <v>0.375</v>
      </c>
      <c r="N4" s="2">
        <v>0.375</v>
      </c>
      <c r="O4" s="2">
        <v>0.375</v>
      </c>
      <c r="P4" s="2">
        <v>0.375</v>
      </c>
      <c r="Q4" s="2">
        <v>0.375</v>
      </c>
      <c r="R4" s="2">
        <v>0.375</v>
      </c>
      <c r="S4" s="2">
        <v>0.375</v>
      </c>
      <c r="T4" s="2">
        <v>0.375</v>
      </c>
      <c r="U4" s="2">
        <v>0.375</v>
      </c>
      <c r="V4" s="2">
        <v>0.375</v>
      </c>
      <c r="W4" s="2">
        <v>0.375</v>
      </c>
      <c r="X4" s="2">
        <v>0.375</v>
      </c>
      <c r="Y4" s="2">
        <v>0.375</v>
      </c>
      <c r="Z4" s="2">
        <v>0.375</v>
      </c>
      <c r="AA4" s="2">
        <v>0.375</v>
      </c>
      <c r="AB4" s="2">
        <v>0.375</v>
      </c>
      <c r="AC4" s="2">
        <v>0.375</v>
      </c>
      <c r="AD4" s="2">
        <v>0.375</v>
      </c>
      <c r="AE4" s="2">
        <v>0.375</v>
      </c>
      <c r="AF4" s="2">
        <v>0.3888888888888889</v>
      </c>
      <c r="AG4" s="2">
        <v>0.3888888888888889</v>
      </c>
      <c r="AH4" s="2">
        <v>0.375</v>
      </c>
      <c r="AI4" s="2">
        <v>0.375</v>
      </c>
      <c r="AJ4" s="2">
        <v>0.375</v>
      </c>
      <c r="AK4" s="2">
        <v>0.375</v>
      </c>
      <c r="AL4" s="2">
        <v>0.375</v>
      </c>
      <c r="AM4" s="2" t="s">
        <v>5</v>
      </c>
      <c r="AN4" s="20"/>
      <c r="AO4" s="12"/>
    </row>
    <row r="5" spans="1:41">
      <c r="A5" s="1" t="s">
        <v>120</v>
      </c>
      <c r="B5" s="12" t="s">
        <v>228</v>
      </c>
      <c r="C5" s="1" t="s">
        <v>13</v>
      </c>
      <c r="D5" s="1" t="s">
        <v>10</v>
      </c>
      <c r="E5" s="1" t="s">
        <v>66</v>
      </c>
      <c r="F5" s="6">
        <v>45870</v>
      </c>
      <c r="G5" s="1" t="s">
        <v>32</v>
      </c>
      <c r="H5" s="12" t="s">
        <v>18</v>
      </c>
      <c r="I5" s="7" t="s">
        <v>8</v>
      </c>
      <c r="J5" s="2">
        <v>0.54166666666666663</v>
      </c>
      <c r="K5" s="2" t="s">
        <v>5</v>
      </c>
      <c r="L5" s="2" t="s">
        <v>5</v>
      </c>
      <c r="M5" s="2">
        <v>0.76388888888888884</v>
      </c>
      <c r="N5" s="2">
        <v>0.75</v>
      </c>
      <c r="O5" s="2">
        <v>0.79166666666666663</v>
      </c>
      <c r="P5" s="2">
        <v>0.75</v>
      </c>
      <c r="Q5" s="2">
        <v>0.75</v>
      </c>
      <c r="R5" s="2">
        <v>0.75</v>
      </c>
      <c r="S5" s="2">
        <v>0.75</v>
      </c>
      <c r="T5" s="2">
        <v>0.75</v>
      </c>
      <c r="U5" s="2">
        <v>0.75</v>
      </c>
      <c r="V5" s="2">
        <v>0.75</v>
      </c>
      <c r="W5" s="2">
        <v>0.75</v>
      </c>
      <c r="X5" s="2">
        <v>0.70833333333333337</v>
      </c>
      <c r="Y5" s="2">
        <v>0.75</v>
      </c>
      <c r="Z5" s="2">
        <v>0.75</v>
      </c>
      <c r="AA5" s="2">
        <v>0.75</v>
      </c>
      <c r="AB5" s="2">
        <v>0.75</v>
      </c>
      <c r="AC5" s="2">
        <v>0.75</v>
      </c>
      <c r="AD5" s="2">
        <v>0.75</v>
      </c>
      <c r="AE5" s="2">
        <v>0.75</v>
      </c>
      <c r="AF5" s="2">
        <v>0.75</v>
      </c>
      <c r="AG5" s="2">
        <v>0.75</v>
      </c>
      <c r="AH5" s="2">
        <v>0.54166666666666663</v>
      </c>
      <c r="AI5" s="2">
        <v>0.75</v>
      </c>
      <c r="AJ5" s="2">
        <v>0.52777777777777779</v>
      </c>
      <c r="AK5" s="2">
        <v>0.75</v>
      </c>
      <c r="AL5" s="2">
        <v>0.75</v>
      </c>
      <c r="AM5" s="2" t="s">
        <v>5</v>
      </c>
      <c r="AN5" s="20"/>
      <c r="AO5" s="12"/>
    </row>
    <row r="6" spans="1:41">
      <c r="A6" s="21" t="s">
        <v>120</v>
      </c>
      <c r="B6" s="21" t="s">
        <v>228</v>
      </c>
      <c r="C6" s="21" t="s">
        <v>13</v>
      </c>
      <c r="D6" s="21" t="s">
        <v>10</v>
      </c>
      <c r="E6" s="21" t="s">
        <v>66</v>
      </c>
      <c r="F6" s="22">
        <v>45870</v>
      </c>
      <c r="G6" s="21" t="s">
        <v>32</v>
      </c>
      <c r="H6" s="21" t="s">
        <v>18</v>
      </c>
      <c r="I6" s="23" t="s">
        <v>9</v>
      </c>
      <c r="J6" s="24">
        <f>IF(AND(ISBLANK(J4),ISBLANK(J5)),"A",IFERROR(+MOD(J5-J4,1),J3))</f>
        <v>0.16666666666666663</v>
      </c>
      <c r="K6" s="24" t="s">
        <v>5</v>
      </c>
      <c r="L6" s="24" t="s">
        <v>5</v>
      </c>
      <c r="M6" s="24">
        <f t="shared" ref="M6:AL6" si="0">IF(AND(ISBLANK(M4),ISBLANK(M5)),"A",IFERROR(+MOD(M5-M4,1),M3))</f>
        <v>0.38888888888888884</v>
      </c>
      <c r="N6" s="24">
        <f t="shared" si="0"/>
        <v>0.375</v>
      </c>
      <c r="O6" s="24">
        <f t="shared" si="0"/>
        <v>0.41666666666666663</v>
      </c>
      <c r="P6" s="24">
        <f t="shared" si="0"/>
        <v>0.375</v>
      </c>
      <c r="Q6" s="24">
        <f t="shared" si="0"/>
        <v>0.375</v>
      </c>
      <c r="R6" s="24">
        <f t="shared" si="0"/>
        <v>0.375</v>
      </c>
      <c r="S6" s="24">
        <f t="shared" si="0"/>
        <v>0.375</v>
      </c>
      <c r="T6" s="24">
        <f t="shared" si="0"/>
        <v>0.375</v>
      </c>
      <c r="U6" s="24">
        <f t="shared" si="0"/>
        <v>0.375</v>
      </c>
      <c r="V6" s="24">
        <f t="shared" si="0"/>
        <v>0.375</v>
      </c>
      <c r="W6" s="24">
        <f t="shared" si="0"/>
        <v>0.375</v>
      </c>
      <c r="X6" s="24">
        <f t="shared" si="0"/>
        <v>0.33333333333333337</v>
      </c>
      <c r="Y6" s="24">
        <f t="shared" ref="Y6" si="1">IF(AND(ISBLANK(Y4),ISBLANK(Y5)),"A",IFERROR(+MOD(Y5-Y4,1),Y3))</f>
        <v>0.375</v>
      </c>
      <c r="Z6" s="24">
        <f t="shared" si="0"/>
        <v>0.375</v>
      </c>
      <c r="AA6" s="24">
        <f t="shared" si="0"/>
        <v>0.375</v>
      </c>
      <c r="AB6" s="24">
        <f t="shared" si="0"/>
        <v>0.375</v>
      </c>
      <c r="AC6" s="24">
        <f t="shared" si="0"/>
        <v>0.375</v>
      </c>
      <c r="AD6" s="24">
        <f t="shared" si="0"/>
        <v>0.375</v>
      </c>
      <c r="AE6" s="24">
        <f t="shared" si="0"/>
        <v>0.375</v>
      </c>
      <c r="AF6" s="24">
        <f t="shared" si="0"/>
        <v>0.3611111111111111</v>
      </c>
      <c r="AG6" s="24">
        <f t="shared" si="0"/>
        <v>0.3611111111111111</v>
      </c>
      <c r="AH6" s="24">
        <f t="shared" si="0"/>
        <v>0.16666666666666663</v>
      </c>
      <c r="AI6" s="24">
        <f t="shared" ref="AI6" si="2">IF(AND(ISBLANK(AI4),ISBLANK(AI5)),"A",IFERROR(+MOD(AI5-AI4,1),AI3))</f>
        <v>0.375</v>
      </c>
      <c r="AJ6" s="24">
        <f t="shared" si="0"/>
        <v>0.15277777777777779</v>
      </c>
      <c r="AK6" s="24">
        <f t="shared" si="0"/>
        <v>0.375</v>
      </c>
      <c r="AL6" s="24">
        <f t="shared" si="0"/>
        <v>0.375</v>
      </c>
      <c r="AM6" s="24" t="s">
        <v>5</v>
      </c>
      <c r="AN6" s="17">
        <f>COUNT(F6:AM6)</f>
        <v>28</v>
      </c>
      <c r="AO6" s="21"/>
    </row>
    <row r="7" spans="1:41">
      <c r="A7" s="8" t="s">
        <v>117</v>
      </c>
      <c r="B7" s="12" t="s">
        <v>229</v>
      </c>
      <c r="C7" s="10" t="s">
        <v>14</v>
      </c>
      <c r="D7" s="10" t="s">
        <v>42</v>
      </c>
      <c r="E7" s="10" t="s">
        <v>56</v>
      </c>
      <c r="F7" s="11">
        <v>45870</v>
      </c>
      <c r="G7" s="12" t="s">
        <v>32</v>
      </c>
      <c r="H7" s="12" t="s">
        <v>18</v>
      </c>
      <c r="I7" s="13" t="s">
        <v>4</v>
      </c>
      <c r="J7" s="2" t="s">
        <v>6</v>
      </c>
      <c r="K7" s="2" t="s">
        <v>5</v>
      </c>
      <c r="L7" s="2" t="s">
        <v>5</v>
      </c>
      <c r="M7" s="2" t="s">
        <v>5</v>
      </c>
      <c r="N7" s="2" t="s">
        <v>5</v>
      </c>
      <c r="O7" s="2" t="s">
        <v>5</v>
      </c>
      <c r="P7" s="2" t="s">
        <v>5</v>
      </c>
      <c r="Q7" s="2" t="s">
        <v>5</v>
      </c>
      <c r="R7" s="2" t="s">
        <v>5</v>
      </c>
      <c r="S7" s="2" t="s">
        <v>5</v>
      </c>
      <c r="T7" s="2" t="s">
        <v>5</v>
      </c>
      <c r="U7" s="2" t="s">
        <v>5</v>
      </c>
      <c r="V7" s="2" t="s">
        <v>5</v>
      </c>
      <c r="W7" s="2" t="s">
        <v>5</v>
      </c>
      <c r="X7" s="2" t="s">
        <v>5</v>
      </c>
      <c r="Y7" s="2" t="s">
        <v>5</v>
      </c>
      <c r="Z7" s="2" t="s">
        <v>5</v>
      </c>
      <c r="AA7" s="2" t="s">
        <v>5</v>
      </c>
      <c r="AB7" s="2" t="s">
        <v>5</v>
      </c>
      <c r="AC7" s="2" t="s">
        <v>5</v>
      </c>
      <c r="AD7" s="2" t="s">
        <v>5</v>
      </c>
      <c r="AE7" s="2" t="s">
        <v>5</v>
      </c>
      <c r="AF7" s="2" t="s">
        <v>5</v>
      </c>
      <c r="AG7" s="2" t="s">
        <v>6</v>
      </c>
      <c r="AH7" s="2" t="s">
        <v>5</v>
      </c>
      <c r="AI7" s="2" t="s">
        <v>6</v>
      </c>
      <c r="AJ7" s="2" t="s">
        <v>6</v>
      </c>
      <c r="AK7" s="2" t="s">
        <v>5</v>
      </c>
      <c r="AL7" s="2" t="s">
        <v>5</v>
      </c>
      <c r="AM7" s="2" t="s">
        <v>5</v>
      </c>
      <c r="AN7" s="20"/>
      <c r="AO7" s="12" t="s">
        <v>281</v>
      </c>
    </row>
    <row r="8" spans="1:41">
      <c r="A8" s="1" t="s">
        <v>117</v>
      </c>
      <c r="B8" s="12" t="s">
        <v>229</v>
      </c>
      <c r="C8" s="1" t="s">
        <v>14</v>
      </c>
      <c r="D8" s="1" t="s">
        <v>42</v>
      </c>
      <c r="E8" s="1" t="s">
        <v>56</v>
      </c>
      <c r="F8" s="6">
        <v>45870</v>
      </c>
      <c r="G8" s="1" t="s">
        <v>32</v>
      </c>
      <c r="H8" s="12" t="s">
        <v>18</v>
      </c>
      <c r="I8" s="7" t="s">
        <v>7</v>
      </c>
      <c r="J8" s="2">
        <v>0.375</v>
      </c>
      <c r="K8" s="2" t="s">
        <v>5</v>
      </c>
      <c r="L8" s="2" t="s">
        <v>5</v>
      </c>
      <c r="M8" s="2" t="s">
        <v>5</v>
      </c>
      <c r="N8" s="2" t="s">
        <v>5</v>
      </c>
      <c r="O8" s="2" t="s">
        <v>5</v>
      </c>
      <c r="P8" s="2" t="s">
        <v>5</v>
      </c>
      <c r="Q8" s="2" t="s">
        <v>5</v>
      </c>
      <c r="R8" s="2" t="s">
        <v>5</v>
      </c>
      <c r="S8" s="2" t="s">
        <v>5</v>
      </c>
      <c r="T8" s="2" t="s">
        <v>5</v>
      </c>
      <c r="U8" s="2" t="s">
        <v>5</v>
      </c>
      <c r="V8" s="2" t="s">
        <v>5</v>
      </c>
      <c r="W8" s="2" t="s">
        <v>5</v>
      </c>
      <c r="X8" s="2" t="s">
        <v>5</v>
      </c>
      <c r="Y8" s="2" t="s">
        <v>5</v>
      </c>
      <c r="Z8" s="2" t="s">
        <v>5</v>
      </c>
      <c r="AA8" s="2" t="s">
        <v>5</v>
      </c>
      <c r="AB8" s="2" t="s">
        <v>5</v>
      </c>
      <c r="AC8" s="2" t="s">
        <v>5</v>
      </c>
      <c r="AD8" s="2" t="s">
        <v>5</v>
      </c>
      <c r="AE8" s="2" t="s">
        <v>5</v>
      </c>
      <c r="AF8" s="2" t="s">
        <v>5</v>
      </c>
      <c r="AG8" s="2">
        <v>0.38541666666666669</v>
      </c>
      <c r="AH8" s="2" t="s">
        <v>5</v>
      </c>
      <c r="AI8" s="2">
        <v>0.375</v>
      </c>
      <c r="AJ8" s="2">
        <v>0.375</v>
      </c>
      <c r="AK8" s="2" t="s">
        <v>5</v>
      </c>
      <c r="AL8" s="2" t="s">
        <v>5</v>
      </c>
      <c r="AM8" s="2" t="s">
        <v>5</v>
      </c>
      <c r="AN8" s="20"/>
      <c r="AO8" s="12" t="s">
        <v>281</v>
      </c>
    </row>
    <row r="9" spans="1:41">
      <c r="A9" s="1" t="s">
        <v>117</v>
      </c>
      <c r="B9" s="12" t="s">
        <v>229</v>
      </c>
      <c r="C9" s="1" t="s">
        <v>14</v>
      </c>
      <c r="D9" s="1" t="s">
        <v>42</v>
      </c>
      <c r="E9" s="1" t="s">
        <v>56</v>
      </c>
      <c r="F9" s="6">
        <v>45870</v>
      </c>
      <c r="G9" s="1" t="s">
        <v>32</v>
      </c>
      <c r="H9" s="12" t="s">
        <v>18</v>
      </c>
      <c r="I9" s="7" t="s">
        <v>8</v>
      </c>
      <c r="J9" s="2">
        <v>0.79166666666666663</v>
      </c>
      <c r="K9" s="2" t="s">
        <v>5</v>
      </c>
      <c r="L9" s="2" t="s">
        <v>5</v>
      </c>
      <c r="M9" s="2" t="s">
        <v>5</v>
      </c>
      <c r="N9" s="2" t="s">
        <v>5</v>
      </c>
      <c r="O9" s="2" t="s">
        <v>5</v>
      </c>
      <c r="P9" s="2" t="s">
        <v>5</v>
      </c>
      <c r="Q9" s="2" t="s">
        <v>5</v>
      </c>
      <c r="R9" s="2" t="s">
        <v>5</v>
      </c>
      <c r="S9" s="2" t="s">
        <v>5</v>
      </c>
      <c r="T9" s="2" t="s">
        <v>5</v>
      </c>
      <c r="U9" s="2" t="s">
        <v>5</v>
      </c>
      <c r="V9" s="2" t="s">
        <v>5</v>
      </c>
      <c r="W9" s="2" t="s">
        <v>5</v>
      </c>
      <c r="X9" s="2" t="s">
        <v>5</v>
      </c>
      <c r="Y9" s="2" t="s">
        <v>5</v>
      </c>
      <c r="Z9" s="2" t="s">
        <v>5</v>
      </c>
      <c r="AA9" s="2" t="s">
        <v>5</v>
      </c>
      <c r="AB9" s="2" t="s">
        <v>5</v>
      </c>
      <c r="AC9" s="2" t="s">
        <v>5</v>
      </c>
      <c r="AD9" s="2" t="s">
        <v>5</v>
      </c>
      <c r="AE9" s="2" t="s">
        <v>5</v>
      </c>
      <c r="AF9" s="2" t="s">
        <v>5</v>
      </c>
      <c r="AG9" s="2">
        <v>0.83333333333333337</v>
      </c>
      <c r="AH9" s="2" t="s">
        <v>5</v>
      </c>
      <c r="AI9" s="2">
        <v>0.92708333333333337</v>
      </c>
      <c r="AJ9" s="2">
        <v>0.84375</v>
      </c>
      <c r="AK9" s="2" t="s">
        <v>5</v>
      </c>
      <c r="AL9" s="2" t="s">
        <v>5</v>
      </c>
      <c r="AM9" s="2" t="s">
        <v>5</v>
      </c>
      <c r="AN9" s="20"/>
      <c r="AO9" s="12" t="s">
        <v>281</v>
      </c>
    </row>
    <row r="10" spans="1:41">
      <c r="A10" s="21" t="s">
        <v>117</v>
      </c>
      <c r="B10" s="21" t="s">
        <v>229</v>
      </c>
      <c r="C10" s="21" t="s">
        <v>14</v>
      </c>
      <c r="D10" s="21" t="s">
        <v>42</v>
      </c>
      <c r="E10" s="21" t="s">
        <v>56</v>
      </c>
      <c r="F10" s="22">
        <v>45870</v>
      </c>
      <c r="G10" s="21" t="s">
        <v>32</v>
      </c>
      <c r="H10" s="21" t="s">
        <v>18</v>
      </c>
      <c r="I10" s="23" t="s">
        <v>9</v>
      </c>
      <c r="J10" s="24">
        <f>IF(AND(ISBLANK(J8),ISBLANK(J9)),"A",IFERROR(+MOD(J9-J8,1),J7))</f>
        <v>0.41666666666666663</v>
      </c>
      <c r="K10" s="24" t="s">
        <v>5</v>
      </c>
      <c r="L10" s="24" t="s">
        <v>5</v>
      </c>
      <c r="M10" s="24" t="s">
        <v>5</v>
      </c>
      <c r="N10" s="24" t="s">
        <v>5</v>
      </c>
      <c r="O10" s="24" t="s">
        <v>5</v>
      </c>
      <c r="P10" s="24" t="s">
        <v>5</v>
      </c>
      <c r="Q10" s="24" t="s">
        <v>5</v>
      </c>
      <c r="R10" s="24" t="s">
        <v>5</v>
      </c>
      <c r="S10" s="24" t="s">
        <v>5</v>
      </c>
      <c r="T10" s="24" t="s">
        <v>5</v>
      </c>
      <c r="U10" s="24" t="s">
        <v>5</v>
      </c>
      <c r="V10" s="24" t="s">
        <v>5</v>
      </c>
      <c r="W10" s="24" t="s">
        <v>5</v>
      </c>
      <c r="X10" s="24" t="s">
        <v>5</v>
      </c>
      <c r="Y10" s="24" t="s">
        <v>5</v>
      </c>
      <c r="Z10" s="24" t="s">
        <v>5</v>
      </c>
      <c r="AA10" s="24" t="s">
        <v>5</v>
      </c>
      <c r="AB10" s="24" t="s">
        <v>5</v>
      </c>
      <c r="AC10" s="24" t="s">
        <v>5</v>
      </c>
      <c r="AD10" s="24" t="s">
        <v>5</v>
      </c>
      <c r="AE10" s="24" t="s">
        <v>5</v>
      </c>
      <c r="AF10" s="24" t="s">
        <v>5</v>
      </c>
      <c r="AG10" s="24">
        <f t="shared" ref="AG10:AJ10" si="3">IF(AND(ISBLANK(AG8),ISBLANK(AG9)),"A",IFERROR(+MOD(AG9-AG8,1),AG7))</f>
        <v>0.44791666666666669</v>
      </c>
      <c r="AH10" s="24" t="s">
        <v>5</v>
      </c>
      <c r="AI10" s="24">
        <f t="shared" si="3"/>
        <v>0.55208333333333337</v>
      </c>
      <c r="AJ10" s="24">
        <f t="shared" si="3"/>
        <v>0.46875</v>
      </c>
      <c r="AK10" s="24" t="s">
        <v>5</v>
      </c>
      <c r="AL10" s="24" t="s">
        <v>5</v>
      </c>
      <c r="AM10" s="24" t="s">
        <v>5</v>
      </c>
      <c r="AN10" s="17">
        <f>COUNT(F10:AM10)</f>
        <v>5</v>
      </c>
      <c r="AO10" s="21" t="s">
        <v>281</v>
      </c>
    </row>
    <row r="11" spans="1:41">
      <c r="A11" s="8" t="s">
        <v>121</v>
      </c>
      <c r="B11" s="12" t="s">
        <v>230</v>
      </c>
      <c r="C11" s="10" t="s">
        <v>15</v>
      </c>
      <c r="D11" s="10" t="s">
        <v>157</v>
      </c>
      <c r="E11" s="10" t="s">
        <v>47</v>
      </c>
      <c r="F11" s="11">
        <v>45870</v>
      </c>
      <c r="G11" s="12" t="s">
        <v>32</v>
      </c>
      <c r="H11" s="12" t="s">
        <v>18</v>
      </c>
      <c r="I11" s="13" t="s">
        <v>4</v>
      </c>
      <c r="J11" s="2" t="s">
        <v>5</v>
      </c>
      <c r="K11" s="2" t="s">
        <v>5</v>
      </c>
      <c r="L11" s="2" t="s">
        <v>5</v>
      </c>
      <c r="M11" s="2" t="s">
        <v>6</v>
      </c>
      <c r="N11" s="2" t="s">
        <v>6</v>
      </c>
      <c r="O11" s="2" t="s">
        <v>6</v>
      </c>
      <c r="P11" s="2" t="s">
        <v>6</v>
      </c>
      <c r="Q11" s="2" t="s">
        <v>5</v>
      </c>
      <c r="R11" s="2" t="s">
        <v>5</v>
      </c>
      <c r="S11" s="2" t="s">
        <v>5</v>
      </c>
      <c r="T11" s="2" t="s">
        <v>5</v>
      </c>
      <c r="U11" s="2" t="s">
        <v>5</v>
      </c>
      <c r="V11" s="2" t="s">
        <v>6</v>
      </c>
      <c r="W11" s="2" t="s">
        <v>6</v>
      </c>
      <c r="X11" s="2" t="s">
        <v>6</v>
      </c>
      <c r="Y11" s="2" t="s">
        <v>5</v>
      </c>
      <c r="Z11" s="2" t="s">
        <v>5</v>
      </c>
      <c r="AA11" s="2" t="s">
        <v>5</v>
      </c>
      <c r="AB11" s="2" t="s">
        <v>5</v>
      </c>
      <c r="AC11" s="2" t="s">
        <v>5</v>
      </c>
      <c r="AD11" s="2" t="s">
        <v>5</v>
      </c>
      <c r="AE11" s="2" t="s">
        <v>5</v>
      </c>
      <c r="AF11" s="2" t="s">
        <v>5</v>
      </c>
      <c r="AG11" s="2" t="s">
        <v>5</v>
      </c>
      <c r="AH11" s="2" t="s">
        <v>5</v>
      </c>
      <c r="AI11" s="2" t="s">
        <v>5</v>
      </c>
      <c r="AJ11" s="2" t="s">
        <v>5</v>
      </c>
      <c r="AK11" s="2" t="s">
        <v>5</v>
      </c>
      <c r="AL11" s="2" t="s">
        <v>5</v>
      </c>
      <c r="AM11" s="2" t="s">
        <v>5</v>
      </c>
      <c r="AN11" s="20"/>
      <c r="AO11" s="12" t="s">
        <v>17</v>
      </c>
    </row>
    <row r="12" spans="1:41">
      <c r="A12" s="1" t="s">
        <v>121</v>
      </c>
      <c r="B12" s="12" t="s">
        <v>230</v>
      </c>
      <c r="C12" s="1" t="s">
        <v>15</v>
      </c>
      <c r="D12" s="1" t="s">
        <v>157</v>
      </c>
      <c r="E12" s="1" t="s">
        <v>47</v>
      </c>
      <c r="F12" s="6">
        <v>45870</v>
      </c>
      <c r="G12" s="1" t="s">
        <v>32</v>
      </c>
      <c r="H12" s="12" t="s">
        <v>18</v>
      </c>
      <c r="I12" s="7" t="s">
        <v>7</v>
      </c>
      <c r="J12" s="2" t="s">
        <v>5</v>
      </c>
      <c r="K12" s="2" t="s">
        <v>5</v>
      </c>
      <c r="L12" s="2" t="s">
        <v>5</v>
      </c>
      <c r="M12" s="2">
        <v>0.375</v>
      </c>
      <c r="N12" s="2">
        <v>0.375</v>
      </c>
      <c r="O12" s="2">
        <v>0.375</v>
      </c>
      <c r="P12" s="2">
        <v>0.375</v>
      </c>
      <c r="Q12" s="2" t="s">
        <v>5</v>
      </c>
      <c r="R12" s="2" t="s">
        <v>5</v>
      </c>
      <c r="S12" s="2" t="s">
        <v>5</v>
      </c>
      <c r="T12" s="2" t="s">
        <v>5</v>
      </c>
      <c r="U12" s="2" t="s">
        <v>5</v>
      </c>
      <c r="V12" s="2">
        <v>0.375</v>
      </c>
      <c r="W12" s="2">
        <v>0.375</v>
      </c>
      <c r="X12" s="2">
        <v>0.375</v>
      </c>
      <c r="Y12" s="2" t="s">
        <v>5</v>
      </c>
      <c r="Z12" s="2" t="s">
        <v>5</v>
      </c>
      <c r="AA12" s="2" t="s">
        <v>5</v>
      </c>
      <c r="AB12" s="2" t="s">
        <v>5</v>
      </c>
      <c r="AC12" s="2" t="s">
        <v>5</v>
      </c>
      <c r="AD12" s="2" t="s">
        <v>5</v>
      </c>
      <c r="AE12" s="2" t="s">
        <v>5</v>
      </c>
      <c r="AF12" s="2" t="s">
        <v>5</v>
      </c>
      <c r="AG12" s="2" t="s">
        <v>5</v>
      </c>
      <c r="AH12" s="2" t="s">
        <v>5</v>
      </c>
      <c r="AI12" s="2" t="s">
        <v>5</v>
      </c>
      <c r="AJ12" s="2" t="s">
        <v>5</v>
      </c>
      <c r="AK12" s="2" t="s">
        <v>5</v>
      </c>
      <c r="AL12" s="2" t="s">
        <v>5</v>
      </c>
      <c r="AM12" s="2" t="s">
        <v>5</v>
      </c>
      <c r="AN12" s="20"/>
      <c r="AO12" s="12"/>
    </row>
    <row r="13" spans="1:41">
      <c r="A13" s="1" t="s">
        <v>121</v>
      </c>
      <c r="B13" s="12" t="s">
        <v>230</v>
      </c>
      <c r="C13" s="1" t="s">
        <v>15</v>
      </c>
      <c r="D13" s="1" t="s">
        <v>157</v>
      </c>
      <c r="E13" s="1" t="s">
        <v>47</v>
      </c>
      <c r="F13" s="6">
        <v>45870</v>
      </c>
      <c r="G13" s="1" t="s">
        <v>32</v>
      </c>
      <c r="H13" s="12" t="s">
        <v>18</v>
      </c>
      <c r="I13" s="7" t="s">
        <v>8</v>
      </c>
      <c r="J13" s="2" t="s">
        <v>5</v>
      </c>
      <c r="K13" s="2" t="s">
        <v>5</v>
      </c>
      <c r="L13" s="2" t="s">
        <v>5</v>
      </c>
      <c r="M13" s="2">
        <v>0.875</v>
      </c>
      <c r="N13" s="2">
        <v>0.875</v>
      </c>
      <c r="O13" s="2">
        <v>0.85069444444444453</v>
      </c>
      <c r="P13" s="2">
        <v>0.73958333333333337</v>
      </c>
      <c r="Q13" s="2" t="s">
        <v>5</v>
      </c>
      <c r="R13" s="2" t="s">
        <v>5</v>
      </c>
      <c r="S13" s="2" t="s">
        <v>5</v>
      </c>
      <c r="T13" s="2" t="s">
        <v>5</v>
      </c>
      <c r="U13" s="2" t="s">
        <v>5</v>
      </c>
      <c r="V13" s="2">
        <v>0.75</v>
      </c>
      <c r="W13" s="2">
        <v>0.875</v>
      </c>
      <c r="X13" s="2">
        <v>0.875</v>
      </c>
      <c r="Y13" s="2" t="s">
        <v>5</v>
      </c>
      <c r="Z13" s="2" t="s">
        <v>5</v>
      </c>
      <c r="AA13" s="2" t="s">
        <v>5</v>
      </c>
      <c r="AB13" s="2" t="s">
        <v>5</v>
      </c>
      <c r="AC13" s="2" t="s">
        <v>5</v>
      </c>
      <c r="AD13" s="2" t="s">
        <v>5</v>
      </c>
      <c r="AE13" s="2" t="s">
        <v>5</v>
      </c>
      <c r="AF13" s="2" t="s">
        <v>5</v>
      </c>
      <c r="AG13" s="2" t="s">
        <v>5</v>
      </c>
      <c r="AH13" s="2" t="s">
        <v>5</v>
      </c>
      <c r="AI13" s="2" t="s">
        <v>5</v>
      </c>
      <c r="AJ13" s="2" t="s">
        <v>5</v>
      </c>
      <c r="AK13" s="2" t="s">
        <v>5</v>
      </c>
      <c r="AL13" s="2" t="s">
        <v>5</v>
      </c>
      <c r="AM13" s="2" t="s">
        <v>5</v>
      </c>
      <c r="AN13" s="20"/>
      <c r="AO13" s="12"/>
    </row>
    <row r="14" spans="1:41">
      <c r="A14" s="21" t="s">
        <v>121</v>
      </c>
      <c r="B14" s="21" t="s">
        <v>230</v>
      </c>
      <c r="C14" s="21" t="s">
        <v>15</v>
      </c>
      <c r="D14" s="21" t="s">
        <v>157</v>
      </c>
      <c r="E14" s="21" t="s">
        <v>47</v>
      </c>
      <c r="F14" s="22">
        <v>45870</v>
      </c>
      <c r="G14" s="21" t="s">
        <v>32</v>
      </c>
      <c r="H14" s="21" t="s">
        <v>18</v>
      </c>
      <c r="I14" s="23" t="s">
        <v>9</v>
      </c>
      <c r="J14" s="24" t="s">
        <v>5</v>
      </c>
      <c r="K14" s="24" t="s">
        <v>5</v>
      </c>
      <c r="L14" s="24" t="s">
        <v>5</v>
      </c>
      <c r="M14" s="24">
        <f t="shared" ref="M14" si="4">IF(AND(ISBLANK(M12),ISBLANK(M13)),"A",IFERROR(+MOD(M13-M12,1),M11))</f>
        <v>0.5</v>
      </c>
      <c r="N14" s="24">
        <f t="shared" ref="N14" si="5">IF(AND(ISBLANK(N12),ISBLANK(N13)),"A",IFERROR(+MOD(N13-N12,1),N11))</f>
        <v>0.5</v>
      </c>
      <c r="O14" s="24">
        <f t="shared" ref="O14" si="6">IF(AND(ISBLANK(O12),ISBLANK(O13)),"A",IFERROR(+MOD(O13-O12,1),O11))</f>
        <v>0.47569444444444453</v>
      </c>
      <c r="P14" s="24">
        <f t="shared" ref="P14" si="7">IF(AND(ISBLANK(P12),ISBLANK(P13)),"A",IFERROR(+MOD(P13-P12,1),P11))</f>
        <v>0.36458333333333337</v>
      </c>
      <c r="Q14" s="24" t="s">
        <v>5</v>
      </c>
      <c r="R14" s="24" t="s">
        <v>5</v>
      </c>
      <c r="S14" s="24" t="s">
        <v>5</v>
      </c>
      <c r="T14" s="24" t="s">
        <v>5</v>
      </c>
      <c r="U14" s="24" t="s">
        <v>5</v>
      </c>
      <c r="V14" s="24">
        <f t="shared" ref="V14" si="8">IF(AND(ISBLANK(V12),ISBLANK(V13)),"A",IFERROR(+MOD(V13-V12,1),V11))</f>
        <v>0.375</v>
      </c>
      <c r="W14" s="24">
        <f t="shared" ref="W14" si="9">IF(AND(ISBLANK(W12),ISBLANK(W13)),"A",IFERROR(+MOD(W13-W12,1),W11))</f>
        <v>0.5</v>
      </c>
      <c r="X14" s="24">
        <f t="shared" ref="X14" si="10">IF(AND(ISBLANK(X12),ISBLANK(X13)),"A",IFERROR(+MOD(X13-X12,1),X11))</f>
        <v>0.5</v>
      </c>
      <c r="Y14" s="24" t="s">
        <v>5</v>
      </c>
      <c r="Z14" s="24" t="s">
        <v>5</v>
      </c>
      <c r="AA14" s="24" t="s">
        <v>5</v>
      </c>
      <c r="AB14" s="24" t="s">
        <v>5</v>
      </c>
      <c r="AC14" s="24" t="s">
        <v>5</v>
      </c>
      <c r="AD14" s="24" t="s">
        <v>5</v>
      </c>
      <c r="AE14" s="24" t="s">
        <v>5</v>
      </c>
      <c r="AF14" s="24" t="s">
        <v>5</v>
      </c>
      <c r="AG14" s="24" t="s">
        <v>5</v>
      </c>
      <c r="AH14" s="24" t="s">
        <v>5</v>
      </c>
      <c r="AI14" s="24" t="s">
        <v>5</v>
      </c>
      <c r="AJ14" s="24" t="s">
        <v>5</v>
      </c>
      <c r="AK14" s="24" t="s">
        <v>5</v>
      </c>
      <c r="AL14" s="24" t="s">
        <v>5</v>
      </c>
      <c r="AM14" s="24" t="s">
        <v>5</v>
      </c>
      <c r="AN14" s="17">
        <f>COUNT(F14:AM14)</f>
        <v>8</v>
      </c>
      <c r="AO14" s="21"/>
    </row>
    <row r="15" spans="1:41">
      <c r="A15" s="8" t="s">
        <v>118</v>
      </c>
      <c r="B15" s="12" t="s">
        <v>231</v>
      </c>
      <c r="C15" s="10" t="s">
        <v>153</v>
      </c>
      <c r="D15" s="10" t="s">
        <v>42</v>
      </c>
      <c r="E15" s="10" t="s">
        <v>146</v>
      </c>
      <c r="F15" s="11">
        <v>45870</v>
      </c>
      <c r="G15" s="12" t="s">
        <v>32</v>
      </c>
      <c r="H15" s="12" t="s">
        <v>18</v>
      </c>
      <c r="I15" s="13" t="s">
        <v>4</v>
      </c>
      <c r="J15" s="2" t="s">
        <v>5</v>
      </c>
      <c r="K15" s="2" t="s">
        <v>6</v>
      </c>
      <c r="L15" s="2" t="s">
        <v>6</v>
      </c>
      <c r="M15" s="2" t="s">
        <v>6</v>
      </c>
      <c r="N15" s="2" t="s">
        <v>6</v>
      </c>
      <c r="O15" s="2" t="s">
        <v>5</v>
      </c>
      <c r="P15" s="2" t="s">
        <v>5</v>
      </c>
      <c r="Q15" s="2" t="s">
        <v>5</v>
      </c>
      <c r="R15" s="2" t="s">
        <v>5</v>
      </c>
      <c r="S15" s="2" t="s">
        <v>6</v>
      </c>
      <c r="T15" s="2" t="s">
        <v>6</v>
      </c>
      <c r="U15" s="2" t="s">
        <v>6</v>
      </c>
      <c r="V15" s="2" t="s">
        <v>5</v>
      </c>
      <c r="W15" s="2" t="s">
        <v>6</v>
      </c>
      <c r="X15" s="2" t="s">
        <v>6</v>
      </c>
      <c r="Y15" s="2" t="s">
        <v>6</v>
      </c>
      <c r="Z15" s="2" t="s">
        <v>6</v>
      </c>
      <c r="AA15" s="2" t="s">
        <v>6</v>
      </c>
      <c r="AB15" s="2" t="s">
        <v>5</v>
      </c>
      <c r="AC15" s="2" t="s">
        <v>6</v>
      </c>
      <c r="AD15" s="2" t="s">
        <v>6</v>
      </c>
      <c r="AE15" s="2" t="s">
        <v>5</v>
      </c>
      <c r="AF15" s="2" t="s">
        <v>5</v>
      </c>
      <c r="AG15" s="2" t="s">
        <v>6</v>
      </c>
      <c r="AH15" s="2" t="s">
        <v>5</v>
      </c>
      <c r="AI15" s="2" t="s">
        <v>6</v>
      </c>
      <c r="AJ15" s="2" t="s">
        <v>6</v>
      </c>
      <c r="AK15" s="2" t="s">
        <v>6</v>
      </c>
      <c r="AL15" s="2" t="s">
        <v>6</v>
      </c>
      <c r="AM15" s="2" t="s">
        <v>5</v>
      </c>
      <c r="AN15" s="20"/>
      <c r="AO15" s="12" t="s">
        <v>18</v>
      </c>
    </row>
    <row r="16" spans="1:41">
      <c r="A16" s="1" t="s">
        <v>118</v>
      </c>
      <c r="B16" s="12" t="s">
        <v>231</v>
      </c>
      <c r="C16" s="1" t="s">
        <v>153</v>
      </c>
      <c r="D16" s="1" t="s">
        <v>42</v>
      </c>
      <c r="E16" s="1" t="s">
        <v>146</v>
      </c>
      <c r="F16" s="6">
        <v>45870</v>
      </c>
      <c r="G16" s="1" t="s">
        <v>32</v>
      </c>
      <c r="H16" s="12" t="s">
        <v>18</v>
      </c>
      <c r="I16" s="7" t="s">
        <v>7</v>
      </c>
      <c r="J16" s="2" t="s">
        <v>5</v>
      </c>
      <c r="K16" s="2">
        <v>0.375</v>
      </c>
      <c r="L16" s="2">
        <v>0.375</v>
      </c>
      <c r="M16" s="2">
        <v>0.375</v>
      </c>
      <c r="N16" s="2">
        <v>0.375</v>
      </c>
      <c r="O16" s="2" t="s">
        <v>5</v>
      </c>
      <c r="P16" s="2" t="s">
        <v>5</v>
      </c>
      <c r="Q16" s="2" t="s">
        <v>5</v>
      </c>
      <c r="R16" s="2" t="s">
        <v>5</v>
      </c>
      <c r="S16" s="2">
        <v>0.375</v>
      </c>
      <c r="T16" s="2">
        <v>0.375</v>
      </c>
      <c r="U16" s="2">
        <v>0.38541666666666669</v>
      </c>
      <c r="V16" s="2" t="s">
        <v>5</v>
      </c>
      <c r="W16" s="2">
        <v>0.375</v>
      </c>
      <c r="X16" s="2">
        <v>0.375</v>
      </c>
      <c r="Y16" s="2">
        <v>0.375</v>
      </c>
      <c r="Z16" s="2">
        <v>0.375</v>
      </c>
      <c r="AA16" s="2">
        <v>0.375</v>
      </c>
      <c r="AB16" s="2" t="s">
        <v>5</v>
      </c>
      <c r="AC16" s="2">
        <v>0.375</v>
      </c>
      <c r="AD16" s="2">
        <v>0.375</v>
      </c>
      <c r="AE16" s="2" t="s">
        <v>5</v>
      </c>
      <c r="AF16" s="2" t="s">
        <v>5</v>
      </c>
      <c r="AG16" s="2">
        <v>0.375</v>
      </c>
      <c r="AH16" s="2" t="s">
        <v>5</v>
      </c>
      <c r="AI16" s="2">
        <v>0.375</v>
      </c>
      <c r="AJ16" s="2">
        <v>0.375</v>
      </c>
      <c r="AK16" s="2">
        <v>0.375</v>
      </c>
      <c r="AL16" s="2">
        <v>0.375</v>
      </c>
      <c r="AM16" s="2" t="s">
        <v>5</v>
      </c>
      <c r="AN16" s="20"/>
      <c r="AO16" s="12"/>
    </row>
    <row r="17" spans="1:41">
      <c r="A17" s="1" t="s">
        <v>118</v>
      </c>
      <c r="B17" s="12" t="s">
        <v>231</v>
      </c>
      <c r="C17" s="1" t="s">
        <v>153</v>
      </c>
      <c r="D17" s="1" t="s">
        <v>42</v>
      </c>
      <c r="E17" s="1" t="s">
        <v>146</v>
      </c>
      <c r="F17" s="6">
        <v>45870</v>
      </c>
      <c r="G17" s="1" t="s">
        <v>32</v>
      </c>
      <c r="H17" s="12" t="s">
        <v>18</v>
      </c>
      <c r="I17" s="7" t="s">
        <v>8</v>
      </c>
      <c r="J17" s="2" t="s">
        <v>5</v>
      </c>
      <c r="K17" s="2">
        <v>0.75</v>
      </c>
      <c r="L17" s="2">
        <v>0.75</v>
      </c>
      <c r="M17" s="2">
        <v>0.75</v>
      </c>
      <c r="N17" s="2">
        <v>0.75</v>
      </c>
      <c r="O17" s="2" t="s">
        <v>5</v>
      </c>
      <c r="P17" s="2" t="s">
        <v>5</v>
      </c>
      <c r="Q17" s="2" t="s">
        <v>5</v>
      </c>
      <c r="R17" s="2" t="s">
        <v>5</v>
      </c>
      <c r="S17" s="2">
        <v>0.75</v>
      </c>
      <c r="T17" s="2">
        <v>0.75</v>
      </c>
      <c r="U17" s="2">
        <v>0.75</v>
      </c>
      <c r="V17" s="2" t="s">
        <v>5</v>
      </c>
      <c r="W17" s="2">
        <v>1.0034722222222221</v>
      </c>
      <c r="X17" s="2">
        <v>0.875</v>
      </c>
      <c r="Y17" s="2">
        <v>0.75</v>
      </c>
      <c r="Z17" s="2">
        <v>0.75</v>
      </c>
      <c r="AA17" s="2">
        <v>0.75</v>
      </c>
      <c r="AB17" s="2" t="s">
        <v>5</v>
      </c>
      <c r="AC17" s="2">
        <v>0.83333333333333337</v>
      </c>
      <c r="AD17" s="2">
        <v>0.54166666666666663</v>
      </c>
      <c r="AE17" s="2" t="s">
        <v>5</v>
      </c>
      <c r="AF17" s="2" t="s">
        <v>5</v>
      </c>
      <c r="AG17" s="2">
        <v>0.83333333333333337</v>
      </c>
      <c r="AH17" s="2" t="s">
        <v>5</v>
      </c>
      <c r="AI17" s="2">
        <v>0.75</v>
      </c>
      <c r="AJ17" s="2">
        <v>0.84375</v>
      </c>
      <c r="AK17" s="2">
        <v>1.0034722222222221</v>
      </c>
      <c r="AL17" s="2">
        <v>0.78125</v>
      </c>
      <c r="AM17" s="2" t="s">
        <v>5</v>
      </c>
      <c r="AN17" s="20"/>
      <c r="AO17" s="12"/>
    </row>
    <row r="18" spans="1:41">
      <c r="A18" s="21" t="s">
        <v>118</v>
      </c>
      <c r="B18" s="21" t="s">
        <v>231</v>
      </c>
      <c r="C18" s="21" t="s">
        <v>153</v>
      </c>
      <c r="D18" s="21" t="s">
        <v>42</v>
      </c>
      <c r="E18" s="21" t="s">
        <v>146</v>
      </c>
      <c r="F18" s="22">
        <v>45870</v>
      </c>
      <c r="G18" s="21" t="s">
        <v>32</v>
      </c>
      <c r="H18" s="21" t="s">
        <v>18</v>
      </c>
      <c r="I18" s="23" t="s">
        <v>9</v>
      </c>
      <c r="J18" s="24" t="s">
        <v>5</v>
      </c>
      <c r="K18" s="24">
        <f t="shared" ref="K18" si="11">IF(AND(ISBLANK(K16),ISBLANK(K17)),"A",IFERROR(+MOD(K17-K16,1),K15))</f>
        <v>0.375</v>
      </c>
      <c r="L18" s="24">
        <f t="shared" ref="L18" si="12">IF(AND(ISBLANK(L16),ISBLANK(L17)),"A",IFERROR(+MOD(L17-L16,1),L15))</f>
        <v>0.375</v>
      </c>
      <c r="M18" s="24">
        <f t="shared" ref="M18:N18" si="13">IF(AND(ISBLANK(M16),ISBLANK(M17)),"A",IFERROR(+MOD(M17-M16,1),M15))</f>
        <v>0.375</v>
      </c>
      <c r="N18" s="24">
        <f t="shared" si="13"/>
        <v>0.375</v>
      </c>
      <c r="O18" s="24" t="s">
        <v>5</v>
      </c>
      <c r="P18" s="24" t="s">
        <v>5</v>
      </c>
      <c r="Q18" s="24" t="s">
        <v>5</v>
      </c>
      <c r="R18" s="24" t="s">
        <v>5</v>
      </c>
      <c r="S18" s="24">
        <f t="shared" ref="S18" si="14">IF(AND(ISBLANK(S16),ISBLANK(S17)),"A",IFERROR(+MOD(S17-S16,1),S15))</f>
        <v>0.375</v>
      </c>
      <c r="T18" s="24">
        <f t="shared" ref="T18" si="15">IF(AND(ISBLANK(T16),ISBLANK(T17)),"A",IFERROR(+MOD(T17-T16,1),T15))</f>
        <v>0.375</v>
      </c>
      <c r="U18" s="24">
        <f t="shared" ref="U18" si="16">IF(AND(ISBLANK(U16),ISBLANK(U17)),"A",IFERROR(+MOD(U17-U16,1),U15))</f>
        <v>0.36458333333333331</v>
      </c>
      <c r="V18" s="24" t="s">
        <v>5</v>
      </c>
      <c r="W18" s="24">
        <f t="shared" ref="W18" si="17">IF(AND(ISBLANK(W16),ISBLANK(W17)),"A",IFERROR(+MOD(W17-W16,1),W15))</f>
        <v>0.6284722222222221</v>
      </c>
      <c r="X18" s="24">
        <f t="shared" ref="X18:Y18" si="18">IF(AND(ISBLANK(X16),ISBLANK(X17)),"A",IFERROR(+MOD(X17-X16,1),X15))</f>
        <v>0.5</v>
      </c>
      <c r="Y18" s="24">
        <f t="shared" si="18"/>
        <v>0.375</v>
      </c>
      <c r="Z18" s="24">
        <f t="shared" ref="Z18" si="19">IF(AND(ISBLANK(Z16),ISBLANK(Z17)),"A",IFERROR(+MOD(Z17-Z16,1),Z15))</f>
        <v>0.375</v>
      </c>
      <c r="AA18" s="24">
        <f t="shared" ref="AA18" si="20">IF(AND(ISBLANK(AA16),ISBLANK(AA17)),"A",IFERROR(+MOD(AA17-AA16,1),AA15))</f>
        <v>0.375</v>
      </c>
      <c r="AB18" s="24" t="s">
        <v>5</v>
      </c>
      <c r="AC18" s="24">
        <f t="shared" ref="AC18" si="21">IF(AND(ISBLANK(AC16),ISBLANK(AC17)),"A",IFERROR(+MOD(AC17-AC16,1),AC15))</f>
        <v>0.45833333333333337</v>
      </c>
      <c r="AD18" s="24">
        <f t="shared" ref="AD18" si="22">IF(AND(ISBLANK(AD16),ISBLANK(AD17)),"A",IFERROR(+MOD(AD17-AD16,1),AD15))</f>
        <v>0.16666666666666663</v>
      </c>
      <c r="AE18" s="24" t="s">
        <v>5</v>
      </c>
      <c r="AF18" s="24" t="s">
        <v>5</v>
      </c>
      <c r="AG18" s="24">
        <f t="shared" ref="AG18" si="23">IF(AND(ISBLANK(AG16),ISBLANK(AG17)),"A",IFERROR(+MOD(AG17-AG16,1),AG15))</f>
        <v>0.45833333333333337</v>
      </c>
      <c r="AH18" s="24" t="s">
        <v>5</v>
      </c>
      <c r="AI18" s="24">
        <f t="shared" ref="AI18" si="24">IF(AND(ISBLANK(AI16),ISBLANK(AI17)),"A",IFERROR(+MOD(AI17-AI16,1),AI15))</f>
        <v>0.375</v>
      </c>
      <c r="AJ18" s="24">
        <f t="shared" ref="AJ18" si="25">IF(AND(ISBLANK(AJ16),ISBLANK(AJ17)),"A",IFERROR(+MOD(AJ17-AJ16,1),AJ15))</f>
        <v>0.46875</v>
      </c>
      <c r="AK18" s="24">
        <f t="shared" ref="AK18" si="26">IF(AND(ISBLANK(AK16),ISBLANK(AK17)),"A",IFERROR(+MOD(AK17-AK16,1),AK15))</f>
        <v>0.6284722222222221</v>
      </c>
      <c r="AL18" s="24">
        <f t="shared" ref="AL18" si="27">IF(AND(ISBLANK(AL16),ISBLANK(AL17)),"A",IFERROR(+MOD(AL17-AL16,1),AL15))</f>
        <v>0.40625</v>
      </c>
      <c r="AM18" s="24" t="s">
        <v>5</v>
      </c>
      <c r="AN18" s="17">
        <f>COUNT(F18:AM18)</f>
        <v>20</v>
      </c>
      <c r="AO18" s="21"/>
    </row>
    <row r="19" spans="1:41">
      <c r="A19" s="8" t="s">
        <v>113</v>
      </c>
      <c r="B19" s="12" t="s">
        <v>230</v>
      </c>
      <c r="C19" s="10" t="s">
        <v>29</v>
      </c>
      <c r="D19" s="10" t="s">
        <v>157</v>
      </c>
      <c r="E19" s="10" t="s">
        <v>61</v>
      </c>
      <c r="F19" s="11">
        <v>45870</v>
      </c>
      <c r="G19" s="12" t="s">
        <v>32</v>
      </c>
      <c r="H19" s="12" t="s">
        <v>18</v>
      </c>
      <c r="I19" s="13" t="s">
        <v>4</v>
      </c>
      <c r="J19" s="2" t="s">
        <v>6</v>
      </c>
      <c r="K19" s="2" t="s">
        <v>5</v>
      </c>
      <c r="L19" s="2" t="s">
        <v>6</v>
      </c>
      <c r="M19" s="2" t="s">
        <v>6</v>
      </c>
      <c r="N19" s="2" t="s">
        <v>6</v>
      </c>
      <c r="O19" s="2" t="s">
        <v>6</v>
      </c>
      <c r="P19" s="2" t="s">
        <v>6</v>
      </c>
      <c r="Q19" s="2" t="s">
        <v>6</v>
      </c>
      <c r="R19" s="2" t="s">
        <v>5</v>
      </c>
      <c r="S19" s="2" t="s">
        <v>5</v>
      </c>
      <c r="T19" s="2" t="s">
        <v>5</v>
      </c>
      <c r="U19" s="2" t="s">
        <v>5</v>
      </c>
      <c r="V19" s="2" t="s">
        <v>5</v>
      </c>
      <c r="W19" s="2" t="s">
        <v>5</v>
      </c>
      <c r="X19" s="2" t="s">
        <v>5</v>
      </c>
      <c r="Y19" s="2" t="s">
        <v>5</v>
      </c>
      <c r="Z19" s="2" t="s">
        <v>5</v>
      </c>
      <c r="AA19" s="2" t="s">
        <v>5</v>
      </c>
      <c r="AB19" s="2" t="s">
        <v>5</v>
      </c>
      <c r="AC19" s="2" t="s">
        <v>5</v>
      </c>
      <c r="AD19" s="2" t="s">
        <v>5</v>
      </c>
      <c r="AE19" s="2" t="s">
        <v>5</v>
      </c>
      <c r="AF19" s="2" t="s">
        <v>5</v>
      </c>
      <c r="AG19" s="2" t="s">
        <v>5</v>
      </c>
      <c r="AH19" s="2" t="s">
        <v>5</v>
      </c>
      <c r="AI19" s="2" t="s">
        <v>5</v>
      </c>
      <c r="AJ19" s="2" t="s">
        <v>5</v>
      </c>
      <c r="AK19" s="2" t="s">
        <v>5</v>
      </c>
      <c r="AL19" s="2" t="s">
        <v>5</v>
      </c>
      <c r="AM19" s="2" t="s">
        <v>5</v>
      </c>
      <c r="AN19" s="20"/>
      <c r="AO19" s="12" t="s">
        <v>17</v>
      </c>
    </row>
    <row r="20" spans="1:41">
      <c r="A20" s="1" t="s">
        <v>113</v>
      </c>
      <c r="B20" s="12" t="s">
        <v>230</v>
      </c>
      <c r="C20" s="1" t="s">
        <v>29</v>
      </c>
      <c r="D20" s="1" t="s">
        <v>157</v>
      </c>
      <c r="E20" s="1" t="s">
        <v>61</v>
      </c>
      <c r="F20" s="6">
        <v>45870</v>
      </c>
      <c r="G20" s="1" t="s">
        <v>32</v>
      </c>
      <c r="H20" s="12" t="s">
        <v>18</v>
      </c>
      <c r="I20" s="7" t="s">
        <v>7</v>
      </c>
      <c r="J20" s="2">
        <v>0.375</v>
      </c>
      <c r="K20" s="2" t="s">
        <v>5</v>
      </c>
      <c r="L20" s="2">
        <v>0.375</v>
      </c>
      <c r="M20" s="2">
        <v>0.375</v>
      </c>
      <c r="N20" s="2">
        <v>0.375</v>
      </c>
      <c r="O20" s="2">
        <v>0.375</v>
      </c>
      <c r="P20" s="2">
        <v>0.375</v>
      </c>
      <c r="Q20" s="2">
        <v>0.375</v>
      </c>
      <c r="R20" s="2" t="s">
        <v>5</v>
      </c>
      <c r="S20" s="2" t="s">
        <v>5</v>
      </c>
      <c r="T20" s="2" t="s">
        <v>5</v>
      </c>
      <c r="U20" s="2" t="s">
        <v>5</v>
      </c>
      <c r="V20" s="2" t="s">
        <v>5</v>
      </c>
      <c r="W20" s="2" t="s">
        <v>5</v>
      </c>
      <c r="X20" s="2" t="s">
        <v>5</v>
      </c>
      <c r="Y20" s="2" t="s">
        <v>5</v>
      </c>
      <c r="Z20" s="2" t="s">
        <v>5</v>
      </c>
      <c r="AA20" s="2" t="s">
        <v>5</v>
      </c>
      <c r="AB20" s="2" t="s">
        <v>5</v>
      </c>
      <c r="AC20" s="2" t="s">
        <v>5</v>
      </c>
      <c r="AD20" s="2" t="s">
        <v>5</v>
      </c>
      <c r="AE20" s="2" t="s">
        <v>5</v>
      </c>
      <c r="AF20" s="2" t="s">
        <v>5</v>
      </c>
      <c r="AG20" s="2" t="s">
        <v>5</v>
      </c>
      <c r="AH20" s="2" t="s">
        <v>5</v>
      </c>
      <c r="AI20" s="2" t="s">
        <v>5</v>
      </c>
      <c r="AJ20" s="2" t="s">
        <v>5</v>
      </c>
      <c r="AK20" s="2" t="s">
        <v>5</v>
      </c>
      <c r="AL20" s="2" t="s">
        <v>5</v>
      </c>
      <c r="AM20" s="2" t="s">
        <v>5</v>
      </c>
      <c r="AN20" s="20"/>
      <c r="AO20" s="12"/>
    </row>
    <row r="21" spans="1:41">
      <c r="A21" s="1" t="s">
        <v>113</v>
      </c>
      <c r="B21" s="12" t="s">
        <v>230</v>
      </c>
      <c r="C21" s="1" t="s">
        <v>29</v>
      </c>
      <c r="D21" s="1" t="s">
        <v>157</v>
      </c>
      <c r="E21" s="1" t="s">
        <v>61</v>
      </c>
      <c r="F21" s="6">
        <v>45870</v>
      </c>
      <c r="G21" s="1" t="s">
        <v>32</v>
      </c>
      <c r="H21" s="12" t="s">
        <v>18</v>
      </c>
      <c r="I21" s="7" t="s">
        <v>8</v>
      </c>
      <c r="J21" s="2">
        <v>0.93888888888888899</v>
      </c>
      <c r="K21" s="2" t="s">
        <v>5</v>
      </c>
      <c r="L21" s="2">
        <v>0.84166666666666667</v>
      </c>
      <c r="M21" s="2">
        <v>0.75</v>
      </c>
      <c r="N21" s="2">
        <v>0.875</v>
      </c>
      <c r="O21" s="2">
        <v>0.75</v>
      </c>
      <c r="P21" s="2">
        <v>0.73958333333333337</v>
      </c>
      <c r="Q21" s="2">
        <v>0.75</v>
      </c>
      <c r="R21" s="2" t="s">
        <v>5</v>
      </c>
      <c r="S21" s="2" t="s">
        <v>5</v>
      </c>
      <c r="T21" s="2" t="s">
        <v>5</v>
      </c>
      <c r="U21" s="2" t="s">
        <v>5</v>
      </c>
      <c r="V21" s="2" t="s">
        <v>5</v>
      </c>
      <c r="W21" s="2" t="s">
        <v>5</v>
      </c>
      <c r="X21" s="2" t="s">
        <v>5</v>
      </c>
      <c r="Y21" s="2" t="s">
        <v>5</v>
      </c>
      <c r="Z21" s="2" t="s">
        <v>5</v>
      </c>
      <c r="AA21" s="2" t="s">
        <v>5</v>
      </c>
      <c r="AB21" s="2" t="s">
        <v>5</v>
      </c>
      <c r="AC21" s="2" t="s">
        <v>5</v>
      </c>
      <c r="AD21" s="2" t="s">
        <v>5</v>
      </c>
      <c r="AE21" s="2" t="s">
        <v>5</v>
      </c>
      <c r="AF21" s="2" t="s">
        <v>5</v>
      </c>
      <c r="AG21" s="2" t="s">
        <v>5</v>
      </c>
      <c r="AH21" s="2" t="s">
        <v>5</v>
      </c>
      <c r="AI21" s="2" t="s">
        <v>5</v>
      </c>
      <c r="AJ21" s="2" t="s">
        <v>5</v>
      </c>
      <c r="AK21" s="2" t="s">
        <v>5</v>
      </c>
      <c r="AL21" s="2" t="s">
        <v>5</v>
      </c>
      <c r="AM21" s="2" t="s">
        <v>5</v>
      </c>
      <c r="AN21" s="20"/>
      <c r="AO21" s="12"/>
    </row>
    <row r="22" spans="1:41">
      <c r="A22" s="21" t="s">
        <v>113</v>
      </c>
      <c r="B22" s="21" t="s">
        <v>230</v>
      </c>
      <c r="C22" s="21" t="s">
        <v>29</v>
      </c>
      <c r="D22" s="21" t="s">
        <v>157</v>
      </c>
      <c r="E22" s="21" t="s">
        <v>61</v>
      </c>
      <c r="F22" s="22">
        <v>45870</v>
      </c>
      <c r="G22" s="21" t="s">
        <v>32</v>
      </c>
      <c r="H22" s="21" t="s">
        <v>18</v>
      </c>
      <c r="I22" s="23" t="s">
        <v>9</v>
      </c>
      <c r="J22" s="24">
        <f>IF(AND(ISBLANK(J20),ISBLANK(J21)),"A",IFERROR(+MOD(J21-J20,1),J19))</f>
        <v>0.56388888888888899</v>
      </c>
      <c r="K22" s="24" t="s">
        <v>5</v>
      </c>
      <c r="L22" s="24">
        <f t="shared" ref="L22" si="28">IF(AND(ISBLANK(L20),ISBLANK(L21)),"A",IFERROR(+MOD(L21-L20,1),L19))</f>
        <v>0.46666666666666667</v>
      </c>
      <c r="M22" s="24">
        <f t="shared" ref="M22" si="29">IF(AND(ISBLANK(M20),ISBLANK(M21)),"A",IFERROR(+MOD(M21-M20,1),M19))</f>
        <v>0.375</v>
      </c>
      <c r="N22" s="24">
        <f t="shared" ref="N22" si="30">IF(AND(ISBLANK(N20),ISBLANK(N21)),"A",IFERROR(+MOD(N21-N20,1),N19))</f>
        <v>0.5</v>
      </c>
      <c r="O22" s="24">
        <f t="shared" ref="O22" si="31">IF(AND(ISBLANK(O20),ISBLANK(O21)),"A",IFERROR(+MOD(O21-O20,1),O19))</f>
        <v>0.375</v>
      </c>
      <c r="P22" s="24">
        <f t="shared" ref="P22" si="32">IF(AND(ISBLANK(P20),ISBLANK(P21)),"A",IFERROR(+MOD(P21-P20,1),P19))</f>
        <v>0.36458333333333337</v>
      </c>
      <c r="Q22" s="24">
        <f t="shared" ref="Q22" si="33">IF(AND(ISBLANK(Q20),ISBLANK(Q21)),"A",IFERROR(+MOD(Q21-Q20,1),Q19))</f>
        <v>0.375</v>
      </c>
      <c r="R22" s="24" t="s">
        <v>5</v>
      </c>
      <c r="S22" s="24" t="s">
        <v>5</v>
      </c>
      <c r="T22" s="24" t="s">
        <v>5</v>
      </c>
      <c r="U22" s="24" t="s">
        <v>5</v>
      </c>
      <c r="V22" s="24" t="s">
        <v>5</v>
      </c>
      <c r="W22" s="24" t="s">
        <v>5</v>
      </c>
      <c r="X22" s="24" t="s">
        <v>5</v>
      </c>
      <c r="Y22" s="24" t="s">
        <v>5</v>
      </c>
      <c r="Z22" s="24" t="s">
        <v>5</v>
      </c>
      <c r="AA22" s="24" t="s">
        <v>5</v>
      </c>
      <c r="AB22" s="24" t="s">
        <v>5</v>
      </c>
      <c r="AC22" s="24" t="s">
        <v>5</v>
      </c>
      <c r="AD22" s="24" t="s">
        <v>5</v>
      </c>
      <c r="AE22" s="24" t="s">
        <v>5</v>
      </c>
      <c r="AF22" s="24" t="s">
        <v>5</v>
      </c>
      <c r="AG22" s="24" t="s">
        <v>5</v>
      </c>
      <c r="AH22" s="24" t="s">
        <v>5</v>
      </c>
      <c r="AI22" s="24" t="s">
        <v>5</v>
      </c>
      <c r="AJ22" s="24" t="s">
        <v>5</v>
      </c>
      <c r="AK22" s="24" t="s">
        <v>5</v>
      </c>
      <c r="AL22" s="24" t="s">
        <v>5</v>
      </c>
      <c r="AM22" s="24" t="s">
        <v>5</v>
      </c>
      <c r="AN22" s="17">
        <f>COUNT(F22:AM22)</f>
        <v>8</v>
      </c>
      <c r="AO22" s="21"/>
    </row>
    <row r="23" spans="1:41">
      <c r="A23" s="8" t="s">
        <v>115</v>
      </c>
      <c r="B23" s="12" t="s">
        <v>230</v>
      </c>
      <c r="C23" s="10" t="s">
        <v>152</v>
      </c>
      <c r="D23" s="10" t="s">
        <v>42</v>
      </c>
      <c r="E23" s="10" t="s">
        <v>142</v>
      </c>
      <c r="F23" s="11">
        <v>45870</v>
      </c>
      <c r="G23" s="12" t="s">
        <v>32</v>
      </c>
      <c r="H23" s="12" t="s">
        <v>18</v>
      </c>
      <c r="I23" s="13" t="s">
        <v>4</v>
      </c>
      <c r="J23" s="2" t="s">
        <v>6</v>
      </c>
      <c r="K23" s="2" t="s">
        <v>5</v>
      </c>
      <c r="L23" s="2" t="s">
        <v>6</v>
      </c>
      <c r="M23" s="2" t="s">
        <v>6</v>
      </c>
      <c r="N23" s="2" t="s">
        <v>6</v>
      </c>
      <c r="O23" s="2" t="s">
        <v>6</v>
      </c>
      <c r="P23" s="2" t="s">
        <v>6</v>
      </c>
      <c r="Q23" s="2" t="s">
        <v>6</v>
      </c>
      <c r="R23" s="2" t="s">
        <v>5</v>
      </c>
      <c r="S23" s="2" t="s">
        <v>6</v>
      </c>
      <c r="T23" s="2" t="s">
        <v>5</v>
      </c>
      <c r="U23" s="2" t="s">
        <v>6</v>
      </c>
      <c r="V23" s="2" t="s">
        <v>6</v>
      </c>
      <c r="W23" s="2" t="s">
        <v>6</v>
      </c>
      <c r="X23" s="2" t="s">
        <v>6</v>
      </c>
      <c r="Y23" s="2" t="s">
        <v>5</v>
      </c>
      <c r="Z23" s="2" t="s">
        <v>6</v>
      </c>
      <c r="AA23" s="2" t="s">
        <v>6</v>
      </c>
      <c r="AB23" s="2" t="s">
        <v>6</v>
      </c>
      <c r="AC23" s="2" t="s">
        <v>5</v>
      </c>
      <c r="AD23" s="2" t="s">
        <v>5</v>
      </c>
      <c r="AE23" s="2" t="s">
        <v>5</v>
      </c>
      <c r="AF23" s="2" t="s">
        <v>5</v>
      </c>
      <c r="AG23" s="2" t="s">
        <v>5</v>
      </c>
      <c r="AH23" s="2" t="s">
        <v>5</v>
      </c>
      <c r="AI23" s="2" t="s">
        <v>6</v>
      </c>
      <c r="AJ23" s="2" t="s">
        <v>6</v>
      </c>
      <c r="AK23" s="2" t="s">
        <v>6</v>
      </c>
      <c r="AL23" s="2" t="s">
        <v>6</v>
      </c>
      <c r="AM23" s="2" t="s">
        <v>5</v>
      </c>
      <c r="AN23" s="20"/>
      <c r="AO23" s="12" t="s">
        <v>18</v>
      </c>
    </row>
    <row r="24" spans="1:41">
      <c r="A24" s="1" t="s">
        <v>115</v>
      </c>
      <c r="B24" s="12" t="s">
        <v>230</v>
      </c>
      <c r="C24" s="1" t="s">
        <v>152</v>
      </c>
      <c r="D24" s="1" t="s">
        <v>42</v>
      </c>
      <c r="E24" s="1" t="s">
        <v>142</v>
      </c>
      <c r="F24" s="6">
        <v>45870</v>
      </c>
      <c r="G24" s="1" t="s">
        <v>32</v>
      </c>
      <c r="H24" s="12" t="s">
        <v>18</v>
      </c>
      <c r="I24" s="7" t="s">
        <v>7</v>
      </c>
      <c r="J24" s="2">
        <v>0.375</v>
      </c>
      <c r="K24" s="2" t="s">
        <v>5</v>
      </c>
      <c r="L24" s="2">
        <v>0.375</v>
      </c>
      <c r="M24" s="2">
        <v>0.375</v>
      </c>
      <c r="N24" s="2">
        <v>0.375</v>
      </c>
      <c r="O24" s="2">
        <v>0.375</v>
      </c>
      <c r="P24" s="2">
        <v>0.375</v>
      </c>
      <c r="Q24" s="2">
        <v>0.375</v>
      </c>
      <c r="R24" s="2" t="s">
        <v>5</v>
      </c>
      <c r="S24" s="2">
        <v>0.375</v>
      </c>
      <c r="T24" s="2" t="s">
        <v>5</v>
      </c>
      <c r="U24" s="2">
        <v>0.38541666666666669</v>
      </c>
      <c r="V24" s="2">
        <v>0.38194444444444442</v>
      </c>
      <c r="W24" s="2">
        <v>0.3888888888888889</v>
      </c>
      <c r="X24" s="2">
        <v>0.375</v>
      </c>
      <c r="Y24" s="2" t="s">
        <v>5</v>
      </c>
      <c r="Z24" s="2">
        <v>0.375</v>
      </c>
      <c r="AA24" s="2">
        <v>0.375</v>
      </c>
      <c r="AB24" s="2">
        <v>0.375</v>
      </c>
      <c r="AC24" s="2" t="s">
        <v>5</v>
      </c>
      <c r="AD24" s="2" t="s">
        <v>5</v>
      </c>
      <c r="AE24" s="2" t="s">
        <v>5</v>
      </c>
      <c r="AF24" s="2" t="s">
        <v>5</v>
      </c>
      <c r="AG24" s="2" t="s">
        <v>5</v>
      </c>
      <c r="AH24" s="2" t="s">
        <v>5</v>
      </c>
      <c r="AI24" s="2">
        <v>0.40625</v>
      </c>
      <c r="AJ24" s="2">
        <v>0.39583333333333331</v>
      </c>
      <c r="AK24" s="2">
        <v>0.54166666666666663</v>
      </c>
      <c r="AL24" s="2">
        <v>0.3923611111111111</v>
      </c>
      <c r="AM24" s="2" t="s">
        <v>5</v>
      </c>
      <c r="AN24" s="20"/>
      <c r="AO24" s="12"/>
    </row>
    <row r="25" spans="1:41">
      <c r="A25" s="1" t="s">
        <v>115</v>
      </c>
      <c r="B25" s="12" t="s">
        <v>230</v>
      </c>
      <c r="C25" s="1" t="s">
        <v>152</v>
      </c>
      <c r="D25" s="1" t="s">
        <v>42</v>
      </c>
      <c r="E25" s="1" t="s">
        <v>142</v>
      </c>
      <c r="F25" s="6">
        <v>45870</v>
      </c>
      <c r="G25" s="1" t="s">
        <v>32</v>
      </c>
      <c r="H25" s="12" t="s">
        <v>18</v>
      </c>
      <c r="I25" s="7" t="s">
        <v>8</v>
      </c>
      <c r="J25" s="2">
        <v>0.85555555555555562</v>
      </c>
      <c r="K25" s="2" t="s">
        <v>5</v>
      </c>
      <c r="L25" s="2">
        <v>0.84722222222222221</v>
      </c>
      <c r="M25" s="2">
        <v>0.875</v>
      </c>
      <c r="N25" s="2">
        <v>0.875</v>
      </c>
      <c r="O25" s="2">
        <v>0.85069444444444453</v>
      </c>
      <c r="P25" s="2">
        <v>0.73958333333333337</v>
      </c>
      <c r="Q25" s="2">
        <v>0.88263888888888886</v>
      </c>
      <c r="R25" s="2" t="s">
        <v>5</v>
      </c>
      <c r="S25" s="2">
        <v>0.875</v>
      </c>
      <c r="T25" s="2" t="s">
        <v>5</v>
      </c>
      <c r="U25" s="2">
        <v>0.88541666666666663</v>
      </c>
      <c r="V25" s="2">
        <v>0.83333333333333337</v>
      </c>
      <c r="W25" s="2">
        <v>0.875</v>
      </c>
      <c r="X25" s="2">
        <v>0.875</v>
      </c>
      <c r="Y25" s="2" t="s">
        <v>5</v>
      </c>
      <c r="Z25" s="2">
        <v>0.875</v>
      </c>
      <c r="AA25" s="2">
        <v>0.875</v>
      </c>
      <c r="AB25" s="2">
        <v>0.875</v>
      </c>
      <c r="AC25" s="2" t="s">
        <v>5</v>
      </c>
      <c r="AD25" s="2" t="s">
        <v>5</v>
      </c>
      <c r="AE25" s="2" t="s">
        <v>5</v>
      </c>
      <c r="AF25" s="2" t="s">
        <v>5</v>
      </c>
      <c r="AG25" s="2" t="s">
        <v>5</v>
      </c>
      <c r="AH25" s="2" t="s">
        <v>5</v>
      </c>
      <c r="AI25" s="2">
        <v>0.83333333333333337</v>
      </c>
      <c r="AJ25" s="2">
        <v>0.88194444444444453</v>
      </c>
      <c r="AK25" s="2">
        <v>0.92361111111111116</v>
      </c>
      <c r="AL25" s="2">
        <v>0.875</v>
      </c>
      <c r="AM25" s="2" t="s">
        <v>5</v>
      </c>
      <c r="AN25" s="20"/>
      <c r="AO25" s="12"/>
    </row>
    <row r="26" spans="1:41">
      <c r="A26" s="21" t="s">
        <v>115</v>
      </c>
      <c r="B26" s="21" t="s">
        <v>230</v>
      </c>
      <c r="C26" s="21" t="s">
        <v>152</v>
      </c>
      <c r="D26" s="21" t="s">
        <v>42</v>
      </c>
      <c r="E26" s="21" t="s">
        <v>142</v>
      </c>
      <c r="F26" s="22">
        <v>45870</v>
      </c>
      <c r="G26" s="21" t="s">
        <v>32</v>
      </c>
      <c r="H26" s="21" t="s">
        <v>18</v>
      </c>
      <c r="I26" s="23" t="s">
        <v>9</v>
      </c>
      <c r="J26" s="24">
        <f>IF(AND(ISBLANK(J24),ISBLANK(J25)),"A",IFERROR(+MOD(J25-J24,1),J23))</f>
        <v>0.48055555555555562</v>
      </c>
      <c r="K26" s="24" t="s">
        <v>5</v>
      </c>
      <c r="L26" s="24">
        <f t="shared" ref="L26" si="34">IF(AND(ISBLANK(L24),ISBLANK(L25)),"A",IFERROR(+MOD(L25-L24,1),L23))</f>
        <v>0.47222222222222221</v>
      </c>
      <c r="M26" s="24">
        <f t="shared" ref="M26" si="35">IF(AND(ISBLANK(M24),ISBLANK(M25)),"A",IFERROR(+MOD(M25-M24,1),M23))</f>
        <v>0.5</v>
      </c>
      <c r="N26" s="24">
        <f t="shared" ref="N26" si="36">IF(AND(ISBLANK(N24),ISBLANK(N25)),"A",IFERROR(+MOD(N25-N24,1),N23))</f>
        <v>0.5</v>
      </c>
      <c r="O26" s="24">
        <f t="shared" ref="O26" si="37">IF(AND(ISBLANK(O24),ISBLANK(O25)),"A",IFERROR(+MOD(O25-O24,1),O23))</f>
        <v>0.47569444444444453</v>
      </c>
      <c r="P26" s="24">
        <f t="shared" ref="P26" si="38">IF(AND(ISBLANK(P24),ISBLANK(P25)),"A",IFERROR(+MOD(P25-P24,1),P23))</f>
        <v>0.36458333333333337</v>
      </c>
      <c r="Q26" s="24">
        <f t="shared" ref="Q26" si="39">IF(AND(ISBLANK(Q24),ISBLANK(Q25)),"A",IFERROR(+MOD(Q25-Q24,1),Q23))</f>
        <v>0.50763888888888886</v>
      </c>
      <c r="R26" s="24" t="s">
        <v>5</v>
      </c>
      <c r="S26" s="24">
        <f t="shared" ref="S26" si="40">IF(AND(ISBLANK(S24),ISBLANK(S25)),"A",IFERROR(+MOD(S25-S24,1),S23))</f>
        <v>0.5</v>
      </c>
      <c r="T26" s="24" t="s">
        <v>5</v>
      </c>
      <c r="U26" s="24">
        <f t="shared" ref="U26" si="41">IF(AND(ISBLANK(U24),ISBLANK(U25)),"A",IFERROR(+MOD(U25-U24,1),U23))</f>
        <v>0.49999999999999994</v>
      </c>
      <c r="V26" s="24">
        <f t="shared" ref="V26" si="42">IF(AND(ISBLANK(V24),ISBLANK(V25)),"A",IFERROR(+MOD(V25-V24,1),V23))</f>
        <v>0.45138888888888895</v>
      </c>
      <c r="W26" s="24">
        <f t="shared" ref="W26:X26" si="43">IF(AND(ISBLANK(W24),ISBLANK(W25)),"A",IFERROR(+MOD(W25-W24,1),W23))</f>
        <v>0.4861111111111111</v>
      </c>
      <c r="X26" s="24">
        <f t="shared" si="43"/>
        <v>0.5</v>
      </c>
      <c r="Y26" s="24" t="s">
        <v>5</v>
      </c>
      <c r="Z26" s="24">
        <f t="shared" ref="Z26" si="44">IF(AND(ISBLANK(Z24),ISBLANK(Z25)),"A",IFERROR(+MOD(Z25-Z24,1),Z23))</f>
        <v>0.5</v>
      </c>
      <c r="AA26" s="24">
        <f t="shared" ref="AA26" si="45">IF(AND(ISBLANK(AA24),ISBLANK(AA25)),"A",IFERROR(+MOD(AA25-AA24,1),AA23))</f>
        <v>0.5</v>
      </c>
      <c r="AB26" s="24">
        <f t="shared" ref="AB26" si="46">IF(AND(ISBLANK(AB24),ISBLANK(AB25)),"A",IFERROR(+MOD(AB25-AB24,1),AB23))</f>
        <v>0.5</v>
      </c>
      <c r="AC26" s="24" t="s">
        <v>5</v>
      </c>
      <c r="AD26" s="24" t="s">
        <v>5</v>
      </c>
      <c r="AE26" s="24" t="s">
        <v>5</v>
      </c>
      <c r="AF26" s="24" t="s">
        <v>5</v>
      </c>
      <c r="AG26" s="24" t="s">
        <v>5</v>
      </c>
      <c r="AH26" s="24" t="s">
        <v>5</v>
      </c>
      <c r="AI26" s="24">
        <f t="shared" ref="AI26" si="47">IF(AND(ISBLANK(AI24),ISBLANK(AI25)),"A",IFERROR(+MOD(AI25-AI24,1),AI23))</f>
        <v>0.42708333333333337</v>
      </c>
      <c r="AJ26" s="24">
        <f t="shared" ref="AJ26:AK26" si="48">IF(AND(ISBLANK(AJ24),ISBLANK(AJ25)),"A",IFERROR(+MOD(AJ25-AJ24,1),AJ23))</f>
        <v>0.48611111111111122</v>
      </c>
      <c r="AK26" s="24">
        <f t="shared" si="48"/>
        <v>0.38194444444444453</v>
      </c>
      <c r="AL26" s="24">
        <f t="shared" ref="AL26" si="49">IF(AND(ISBLANK(AL24),ISBLANK(AL25)),"A",IFERROR(+MOD(AL25-AL24,1),AL23))</f>
        <v>0.4826388888888889</v>
      </c>
      <c r="AM26" s="24" t="s">
        <v>5</v>
      </c>
      <c r="AN26" s="17">
        <f>COUNT(F26:AM26)</f>
        <v>20</v>
      </c>
      <c r="AO26" s="21"/>
    </row>
    <row r="27" spans="1:41">
      <c r="A27" s="8" t="s">
        <v>111</v>
      </c>
      <c r="B27" s="12" t="s">
        <v>230</v>
      </c>
      <c r="C27" s="10" t="s">
        <v>110</v>
      </c>
      <c r="D27" s="10" t="s">
        <v>157</v>
      </c>
      <c r="E27" s="10" t="s">
        <v>48</v>
      </c>
      <c r="F27" s="11">
        <v>45871</v>
      </c>
      <c r="G27" s="12" t="s">
        <v>32</v>
      </c>
      <c r="H27" s="12" t="s">
        <v>18</v>
      </c>
      <c r="I27" s="13" t="s">
        <v>4</v>
      </c>
      <c r="J27" s="2" t="s">
        <v>6</v>
      </c>
      <c r="K27" s="2" t="s">
        <v>5</v>
      </c>
      <c r="L27" s="2" t="s">
        <v>5</v>
      </c>
      <c r="M27" s="2" t="s">
        <v>5</v>
      </c>
      <c r="N27" s="2" t="s">
        <v>6</v>
      </c>
      <c r="O27" s="2" t="s">
        <v>5</v>
      </c>
      <c r="P27" s="2" t="s">
        <v>6</v>
      </c>
      <c r="Q27" s="2" t="s">
        <v>6</v>
      </c>
      <c r="R27" s="2" t="s">
        <v>5</v>
      </c>
      <c r="S27" s="2" t="s">
        <v>6</v>
      </c>
      <c r="T27" s="2" t="s">
        <v>6</v>
      </c>
      <c r="U27" s="2" t="s">
        <v>5</v>
      </c>
      <c r="V27" s="2" t="s">
        <v>5</v>
      </c>
      <c r="W27" s="2" t="s">
        <v>5</v>
      </c>
      <c r="X27" s="2" t="s">
        <v>5</v>
      </c>
      <c r="Y27" s="2" t="s">
        <v>5</v>
      </c>
      <c r="Z27" s="2" t="s">
        <v>5</v>
      </c>
      <c r="AA27" s="2" t="s">
        <v>5</v>
      </c>
      <c r="AB27" s="2" t="s">
        <v>5</v>
      </c>
      <c r="AC27" s="2" t="s">
        <v>5</v>
      </c>
      <c r="AD27" s="2" t="s">
        <v>5</v>
      </c>
      <c r="AE27" s="2" t="s">
        <v>5</v>
      </c>
      <c r="AF27" s="2" t="s">
        <v>5</v>
      </c>
      <c r="AG27" s="2" t="s">
        <v>5</v>
      </c>
      <c r="AH27" s="2" t="s">
        <v>5</v>
      </c>
      <c r="AI27" s="2" t="s">
        <v>5</v>
      </c>
      <c r="AJ27" s="2" t="s">
        <v>5</v>
      </c>
      <c r="AK27" s="2" t="s">
        <v>5</v>
      </c>
      <c r="AL27" s="2" t="s">
        <v>5</v>
      </c>
      <c r="AM27" s="2" t="s">
        <v>5</v>
      </c>
      <c r="AN27" s="20"/>
      <c r="AO27" s="12" t="s">
        <v>17</v>
      </c>
    </row>
    <row r="28" spans="1:41">
      <c r="A28" s="1" t="s">
        <v>111</v>
      </c>
      <c r="B28" s="12" t="s">
        <v>230</v>
      </c>
      <c r="C28" s="1" t="s">
        <v>110</v>
      </c>
      <c r="D28" s="1" t="s">
        <v>157</v>
      </c>
      <c r="E28" s="1" t="s">
        <v>48</v>
      </c>
      <c r="F28" s="6">
        <v>45871</v>
      </c>
      <c r="G28" s="1" t="s">
        <v>32</v>
      </c>
      <c r="H28" s="12" t="s">
        <v>18</v>
      </c>
      <c r="I28" s="7" t="s">
        <v>7</v>
      </c>
      <c r="J28" s="2">
        <v>0.375</v>
      </c>
      <c r="K28" s="2" t="s">
        <v>5</v>
      </c>
      <c r="L28" s="2" t="s">
        <v>5</v>
      </c>
      <c r="M28" s="2" t="s">
        <v>5</v>
      </c>
      <c r="N28" s="2">
        <v>0.375</v>
      </c>
      <c r="O28" s="2" t="s">
        <v>5</v>
      </c>
      <c r="P28" s="2">
        <v>0.375</v>
      </c>
      <c r="Q28" s="2">
        <v>0.375</v>
      </c>
      <c r="R28" s="2" t="s">
        <v>5</v>
      </c>
      <c r="S28" s="2">
        <v>0.375</v>
      </c>
      <c r="T28" s="2">
        <v>0.375</v>
      </c>
      <c r="U28" s="2" t="s">
        <v>5</v>
      </c>
      <c r="V28" s="2" t="s">
        <v>5</v>
      </c>
      <c r="W28" s="2" t="s">
        <v>5</v>
      </c>
      <c r="X28" s="2" t="s">
        <v>5</v>
      </c>
      <c r="Y28" s="2" t="s">
        <v>5</v>
      </c>
      <c r="Z28" s="2" t="s">
        <v>5</v>
      </c>
      <c r="AA28" s="2" t="s">
        <v>5</v>
      </c>
      <c r="AB28" s="2" t="s">
        <v>5</v>
      </c>
      <c r="AC28" s="2" t="s">
        <v>5</v>
      </c>
      <c r="AD28" s="2" t="s">
        <v>5</v>
      </c>
      <c r="AE28" s="2" t="s">
        <v>5</v>
      </c>
      <c r="AF28" s="2" t="s">
        <v>5</v>
      </c>
      <c r="AG28" s="2" t="s">
        <v>5</v>
      </c>
      <c r="AH28" s="2" t="s">
        <v>5</v>
      </c>
      <c r="AI28" s="2" t="s">
        <v>5</v>
      </c>
      <c r="AJ28" s="2" t="s">
        <v>5</v>
      </c>
      <c r="AK28" s="2" t="s">
        <v>5</v>
      </c>
      <c r="AL28" s="2" t="s">
        <v>5</v>
      </c>
      <c r="AM28" s="2" t="s">
        <v>5</v>
      </c>
      <c r="AN28" s="20"/>
      <c r="AO28" s="12"/>
    </row>
    <row r="29" spans="1:41">
      <c r="A29" s="1" t="s">
        <v>111</v>
      </c>
      <c r="B29" s="12" t="s">
        <v>230</v>
      </c>
      <c r="C29" s="1" t="s">
        <v>110</v>
      </c>
      <c r="D29" s="1" t="s">
        <v>157</v>
      </c>
      <c r="E29" s="1" t="s">
        <v>48</v>
      </c>
      <c r="F29" s="6">
        <v>45871</v>
      </c>
      <c r="G29" s="1" t="s">
        <v>32</v>
      </c>
      <c r="H29" s="12" t="s">
        <v>18</v>
      </c>
      <c r="I29" s="7" t="s">
        <v>8</v>
      </c>
      <c r="J29" s="2">
        <v>0.85555555555555562</v>
      </c>
      <c r="K29" s="2" t="s">
        <v>5</v>
      </c>
      <c r="L29" s="2" t="s">
        <v>5</v>
      </c>
      <c r="M29" s="2" t="s">
        <v>5</v>
      </c>
      <c r="N29" s="2">
        <v>0.83333333333333337</v>
      </c>
      <c r="O29" s="2" t="s">
        <v>5</v>
      </c>
      <c r="P29" s="2">
        <v>0.75</v>
      </c>
      <c r="Q29" s="2">
        <v>0.75</v>
      </c>
      <c r="R29" s="2" t="s">
        <v>5</v>
      </c>
      <c r="S29" s="2">
        <v>0.875</v>
      </c>
      <c r="T29" s="2">
        <v>0.84722222222222221</v>
      </c>
      <c r="U29" s="2" t="s">
        <v>5</v>
      </c>
      <c r="V29" s="2" t="s">
        <v>5</v>
      </c>
      <c r="W29" s="2" t="s">
        <v>5</v>
      </c>
      <c r="X29" s="2" t="s">
        <v>5</v>
      </c>
      <c r="Y29" s="2" t="s">
        <v>5</v>
      </c>
      <c r="Z29" s="2" t="s">
        <v>5</v>
      </c>
      <c r="AA29" s="2" t="s">
        <v>5</v>
      </c>
      <c r="AB29" s="2" t="s">
        <v>5</v>
      </c>
      <c r="AC29" s="2" t="s">
        <v>5</v>
      </c>
      <c r="AD29" s="2" t="s">
        <v>5</v>
      </c>
      <c r="AE29" s="2" t="s">
        <v>5</v>
      </c>
      <c r="AF29" s="2" t="s">
        <v>5</v>
      </c>
      <c r="AG29" s="2" t="s">
        <v>5</v>
      </c>
      <c r="AH29" s="2" t="s">
        <v>5</v>
      </c>
      <c r="AI29" s="2" t="s">
        <v>5</v>
      </c>
      <c r="AJ29" s="2" t="s">
        <v>5</v>
      </c>
      <c r="AK29" s="2" t="s">
        <v>5</v>
      </c>
      <c r="AL29" s="2" t="s">
        <v>5</v>
      </c>
      <c r="AM29" s="2" t="s">
        <v>5</v>
      </c>
      <c r="AN29" s="20"/>
      <c r="AO29" s="12"/>
    </row>
    <row r="30" spans="1:41">
      <c r="A30" s="21" t="s">
        <v>111</v>
      </c>
      <c r="B30" s="21" t="s">
        <v>230</v>
      </c>
      <c r="C30" s="21" t="s">
        <v>110</v>
      </c>
      <c r="D30" s="21" t="s">
        <v>157</v>
      </c>
      <c r="E30" s="21" t="s">
        <v>48</v>
      </c>
      <c r="F30" s="22">
        <v>45871</v>
      </c>
      <c r="G30" s="21" t="s">
        <v>32</v>
      </c>
      <c r="H30" s="21" t="s">
        <v>18</v>
      </c>
      <c r="I30" s="23" t="s">
        <v>9</v>
      </c>
      <c r="J30" s="24">
        <f>IF(AND(ISBLANK(J28),ISBLANK(J29)),"A",IFERROR(+MOD(J29-J28,1),J27))</f>
        <v>0.48055555555555562</v>
      </c>
      <c r="K30" s="24" t="s">
        <v>5</v>
      </c>
      <c r="L30" s="24" t="s">
        <v>5</v>
      </c>
      <c r="M30" s="24" t="s">
        <v>5</v>
      </c>
      <c r="N30" s="24">
        <f t="shared" ref="N30" si="50">IF(AND(ISBLANK(N28),ISBLANK(N29)),"A",IFERROR(+MOD(N29-N28,1),N27))</f>
        <v>0.45833333333333337</v>
      </c>
      <c r="O30" s="24" t="s">
        <v>5</v>
      </c>
      <c r="P30" s="24">
        <f t="shared" ref="P30" si="51">IF(AND(ISBLANK(P28),ISBLANK(P29)),"A",IFERROR(+MOD(P29-P28,1),P27))</f>
        <v>0.375</v>
      </c>
      <c r="Q30" s="24">
        <f t="shared" ref="Q30" si="52">IF(AND(ISBLANK(Q28),ISBLANK(Q29)),"A",IFERROR(+MOD(Q29-Q28,1),Q27))</f>
        <v>0.375</v>
      </c>
      <c r="R30" s="24" t="s">
        <v>5</v>
      </c>
      <c r="S30" s="24">
        <f t="shared" ref="S30" si="53">IF(AND(ISBLANK(S28),ISBLANK(S29)),"A",IFERROR(+MOD(S29-S28,1),S27))</f>
        <v>0.5</v>
      </c>
      <c r="T30" s="24">
        <f t="shared" ref="T30" si="54">IF(AND(ISBLANK(T28),ISBLANK(T29)),"A",IFERROR(+MOD(T29-T28,1),T27))</f>
        <v>0.47222222222222221</v>
      </c>
      <c r="U30" s="24" t="s">
        <v>5</v>
      </c>
      <c r="V30" s="24" t="s">
        <v>5</v>
      </c>
      <c r="W30" s="24" t="s">
        <v>5</v>
      </c>
      <c r="X30" s="24" t="s">
        <v>5</v>
      </c>
      <c r="Y30" s="24" t="s">
        <v>5</v>
      </c>
      <c r="Z30" s="24" t="s">
        <v>5</v>
      </c>
      <c r="AA30" s="24" t="s">
        <v>5</v>
      </c>
      <c r="AB30" s="24" t="s">
        <v>5</v>
      </c>
      <c r="AC30" s="24" t="s">
        <v>5</v>
      </c>
      <c r="AD30" s="24" t="s">
        <v>5</v>
      </c>
      <c r="AE30" s="24" t="s">
        <v>5</v>
      </c>
      <c r="AF30" s="24" t="s">
        <v>5</v>
      </c>
      <c r="AG30" s="24" t="s">
        <v>5</v>
      </c>
      <c r="AH30" s="24" t="s">
        <v>5</v>
      </c>
      <c r="AI30" s="24" t="s">
        <v>5</v>
      </c>
      <c r="AJ30" s="24" t="s">
        <v>5</v>
      </c>
      <c r="AK30" s="24" t="s">
        <v>5</v>
      </c>
      <c r="AL30" s="24" t="s">
        <v>5</v>
      </c>
      <c r="AM30" s="24" t="s">
        <v>5</v>
      </c>
      <c r="AN30" s="17">
        <f>COUNT(F30:AM30)</f>
        <v>7</v>
      </c>
      <c r="AO30" s="21"/>
    </row>
    <row r="31" spans="1:41">
      <c r="A31" s="8" t="s">
        <v>133</v>
      </c>
      <c r="B31" s="12" t="s">
        <v>232</v>
      </c>
      <c r="C31" s="10" t="s">
        <v>155</v>
      </c>
      <c r="D31" s="10" t="s">
        <v>41</v>
      </c>
      <c r="E31" s="10" t="s">
        <v>146</v>
      </c>
      <c r="F31" s="11">
        <v>45870</v>
      </c>
      <c r="G31" s="12" t="s">
        <v>32</v>
      </c>
      <c r="H31" s="12" t="s">
        <v>18</v>
      </c>
      <c r="I31" s="13" t="s">
        <v>4</v>
      </c>
      <c r="J31" s="2" t="s">
        <v>6</v>
      </c>
      <c r="K31" s="2" t="s">
        <v>6</v>
      </c>
      <c r="L31" s="2" t="s">
        <v>6</v>
      </c>
      <c r="M31" s="2" t="s">
        <v>6</v>
      </c>
      <c r="N31" s="2" t="s">
        <v>6</v>
      </c>
      <c r="O31" s="2" t="s">
        <v>6</v>
      </c>
      <c r="P31" s="2" t="s">
        <v>5</v>
      </c>
      <c r="Q31" s="2" t="s">
        <v>6</v>
      </c>
      <c r="R31" s="2" t="s">
        <v>6</v>
      </c>
      <c r="S31" s="2" t="s">
        <v>6</v>
      </c>
      <c r="T31" s="2" t="s">
        <v>6</v>
      </c>
      <c r="U31" s="2" t="s">
        <v>6</v>
      </c>
      <c r="V31" s="2" t="s">
        <v>6</v>
      </c>
      <c r="W31" s="2" t="s">
        <v>6</v>
      </c>
      <c r="X31" s="2" t="s">
        <v>6</v>
      </c>
      <c r="Y31" s="2" t="s">
        <v>5</v>
      </c>
      <c r="Z31" s="2" t="s">
        <v>6</v>
      </c>
      <c r="AA31" s="2" t="s">
        <v>6</v>
      </c>
      <c r="AB31" s="2" t="s">
        <v>6</v>
      </c>
      <c r="AC31" s="2" t="s">
        <v>6</v>
      </c>
      <c r="AD31" s="2" t="s">
        <v>6</v>
      </c>
      <c r="AE31" s="2" t="s">
        <v>6</v>
      </c>
      <c r="AF31" s="2" t="s">
        <v>5</v>
      </c>
      <c r="AG31" s="2" t="s">
        <v>6</v>
      </c>
      <c r="AH31" s="2" t="s">
        <v>6</v>
      </c>
      <c r="AI31" s="2" t="s">
        <v>6</v>
      </c>
      <c r="AJ31" s="2" t="s">
        <v>6</v>
      </c>
      <c r="AK31" s="2" t="s">
        <v>6</v>
      </c>
      <c r="AL31" s="2" t="s">
        <v>6</v>
      </c>
      <c r="AM31" s="2" t="s">
        <v>5</v>
      </c>
      <c r="AN31" s="20"/>
      <c r="AO31" s="12" t="s">
        <v>18</v>
      </c>
    </row>
    <row r="32" spans="1:41">
      <c r="A32" s="1" t="s">
        <v>133</v>
      </c>
      <c r="B32" s="12" t="s">
        <v>232</v>
      </c>
      <c r="C32" s="1" t="s">
        <v>155</v>
      </c>
      <c r="D32" s="1" t="s">
        <v>41</v>
      </c>
      <c r="E32" s="1" t="s">
        <v>146</v>
      </c>
      <c r="F32" s="6">
        <v>45870</v>
      </c>
      <c r="G32" s="1" t="s">
        <v>32</v>
      </c>
      <c r="H32" s="12" t="s">
        <v>18</v>
      </c>
      <c r="I32" s="7" t="s">
        <v>7</v>
      </c>
      <c r="J32" s="2">
        <v>0.375</v>
      </c>
      <c r="K32" s="2">
        <v>0.375</v>
      </c>
      <c r="L32" s="2">
        <v>0.375</v>
      </c>
      <c r="M32" s="2">
        <v>0.375</v>
      </c>
      <c r="N32" s="2">
        <v>0.375</v>
      </c>
      <c r="O32" s="2">
        <v>0.375</v>
      </c>
      <c r="P32" s="2" t="s">
        <v>5</v>
      </c>
      <c r="Q32" s="2">
        <v>0.375</v>
      </c>
      <c r="R32" s="2">
        <v>0.375</v>
      </c>
      <c r="S32" s="2">
        <v>0.375</v>
      </c>
      <c r="T32" s="2">
        <v>0.375</v>
      </c>
      <c r="U32" s="2">
        <v>0.375</v>
      </c>
      <c r="V32" s="2">
        <v>0.375</v>
      </c>
      <c r="W32" s="2">
        <v>0.375</v>
      </c>
      <c r="X32" s="2">
        <v>0.375</v>
      </c>
      <c r="Y32" s="2" t="s">
        <v>5</v>
      </c>
      <c r="Z32" s="2">
        <v>0.375</v>
      </c>
      <c r="AA32" s="2">
        <v>0.375</v>
      </c>
      <c r="AB32" s="2">
        <v>0.375</v>
      </c>
      <c r="AC32" s="2">
        <v>0.375</v>
      </c>
      <c r="AD32" s="2">
        <v>0.375</v>
      </c>
      <c r="AE32" s="2">
        <v>0.375</v>
      </c>
      <c r="AF32" s="2" t="s">
        <v>5</v>
      </c>
      <c r="AG32" s="2">
        <v>0.375</v>
      </c>
      <c r="AH32" s="2">
        <v>0.375</v>
      </c>
      <c r="AI32" s="2">
        <v>0.375</v>
      </c>
      <c r="AJ32" s="2">
        <v>0.79166666666666663</v>
      </c>
      <c r="AK32" s="2">
        <v>0.75</v>
      </c>
      <c r="AL32" s="2">
        <v>0.77083333333333337</v>
      </c>
      <c r="AM32" s="2" t="s">
        <v>5</v>
      </c>
      <c r="AN32" s="20"/>
      <c r="AO32" s="12"/>
    </row>
    <row r="33" spans="1:41 16380:16380">
      <c r="A33" s="1" t="s">
        <v>133</v>
      </c>
      <c r="B33" s="12" t="s">
        <v>232</v>
      </c>
      <c r="C33" s="1" t="s">
        <v>155</v>
      </c>
      <c r="D33" s="1" t="s">
        <v>41</v>
      </c>
      <c r="E33" s="1" t="s">
        <v>146</v>
      </c>
      <c r="F33" s="6">
        <v>45870</v>
      </c>
      <c r="G33" s="1" t="s">
        <v>32</v>
      </c>
      <c r="H33" s="12" t="s">
        <v>18</v>
      </c>
      <c r="I33" s="7" t="s">
        <v>8</v>
      </c>
      <c r="J33" s="2">
        <v>0.85555555555555562</v>
      </c>
      <c r="K33" s="2">
        <v>0.75</v>
      </c>
      <c r="L33" s="2">
        <v>0.84027777777777779</v>
      </c>
      <c r="M33" s="2">
        <v>0.14583333333333334</v>
      </c>
      <c r="N33" s="2">
        <v>0.75</v>
      </c>
      <c r="O33" s="2">
        <v>0.75</v>
      </c>
      <c r="P33" s="2" t="s">
        <v>5</v>
      </c>
      <c r="Q33" s="2">
        <v>0.77083333333333337</v>
      </c>
      <c r="R33" s="2">
        <v>0.75</v>
      </c>
      <c r="S33" s="2">
        <v>0.75</v>
      </c>
      <c r="T33" s="2">
        <v>0.75</v>
      </c>
      <c r="U33" s="2">
        <v>0.75</v>
      </c>
      <c r="V33" s="2">
        <v>0.75</v>
      </c>
      <c r="W33" s="2">
        <v>0.75</v>
      </c>
      <c r="X33" s="2">
        <v>0.91666666666666663</v>
      </c>
      <c r="Y33" s="2" t="s">
        <v>5</v>
      </c>
      <c r="Z33" s="2">
        <v>0.75</v>
      </c>
      <c r="AA33" s="2">
        <v>0.75</v>
      </c>
      <c r="AB33" s="2">
        <v>0.75</v>
      </c>
      <c r="AC33" s="2">
        <v>0.60416666666666663</v>
      </c>
      <c r="AD33" s="2">
        <v>0.79166666666666663</v>
      </c>
      <c r="AE33" s="2">
        <v>0.75</v>
      </c>
      <c r="AF33" s="2" t="s">
        <v>5</v>
      </c>
      <c r="AG33" s="2">
        <v>0.75</v>
      </c>
      <c r="AH33" s="2">
        <v>0.75</v>
      </c>
      <c r="AI33" s="2">
        <v>0.25</v>
      </c>
      <c r="AJ33" s="2">
        <v>0.1875</v>
      </c>
      <c r="AK33" s="2">
        <v>0.25</v>
      </c>
      <c r="AL33" s="2">
        <v>0.25</v>
      </c>
      <c r="AM33" s="2" t="s">
        <v>5</v>
      </c>
      <c r="AN33" s="20"/>
      <c r="AO33" s="12"/>
    </row>
    <row r="34" spans="1:41 16380:16380">
      <c r="A34" s="21" t="s">
        <v>133</v>
      </c>
      <c r="B34" s="21" t="s">
        <v>232</v>
      </c>
      <c r="C34" s="21" t="s">
        <v>155</v>
      </c>
      <c r="D34" s="21" t="s">
        <v>41</v>
      </c>
      <c r="E34" s="21" t="s">
        <v>146</v>
      </c>
      <c r="F34" s="22">
        <v>45870</v>
      </c>
      <c r="G34" s="21" t="s">
        <v>32</v>
      </c>
      <c r="H34" s="21" t="s">
        <v>18</v>
      </c>
      <c r="I34" s="23" t="s">
        <v>9</v>
      </c>
      <c r="J34" s="24">
        <f>IF(AND(ISBLANK(J32),ISBLANK(J33)),"A",IFERROR(+MOD(J33-J32,1),J31))</f>
        <v>0.48055555555555562</v>
      </c>
      <c r="K34" s="24">
        <f t="shared" ref="K34" si="55">IF(AND(ISBLANK(K32),ISBLANK(K33)),"A",IFERROR(+MOD(K33-K32,1),K31))</f>
        <v>0.375</v>
      </c>
      <c r="L34" s="24">
        <f t="shared" ref="L34" si="56">IF(AND(ISBLANK(L32),ISBLANK(L33)),"A",IFERROR(+MOD(L33-L32,1),L31))</f>
        <v>0.46527777777777779</v>
      </c>
      <c r="M34" s="24">
        <f t="shared" ref="M34" si="57">IF(AND(ISBLANK(M32),ISBLANK(M33)),"A",IFERROR(+MOD(M33-M32,1),M31))</f>
        <v>0.77083333333333337</v>
      </c>
      <c r="N34" s="24">
        <f t="shared" ref="N34" si="58">IF(AND(ISBLANK(N32),ISBLANK(N33)),"A",IFERROR(+MOD(N33-N32,1),N31))</f>
        <v>0.375</v>
      </c>
      <c r="O34" s="24">
        <f t="shared" ref="O34" si="59">IF(AND(ISBLANK(O32),ISBLANK(O33)),"A",IFERROR(+MOD(O33-O32,1),O31))</f>
        <v>0.375</v>
      </c>
      <c r="P34" s="24" t="s">
        <v>5</v>
      </c>
      <c r="Q34" s="24">
        <f t="shared" ref="Q34" si="60">IF(AND(ISBLANK(Q32),ISBLANK(Q33)),"A",IFERROR(+MOD(Q33-Q32,1),Q31))</f>
        <v>0.39583333333333337</v>
      </c>
      <c r="R34" s="24">
        <f t="shared" ref="R34" si="61">IF(AND(ISBLANK(R32),ISBLANK(R33)),"A",IFERROR(+MOD(R33-R32,1),R31))</f>
        <v>0.375</v>
      </c>
      <c r="S34" s="24">
        <f t="shared" ref="S34" si="62">IF(AND(ISBLANK(S32),ISBLANK(S33)),"A",IFERROR(+MOD(S33-S32,1),S31))</f>
        <v>0.375</v>
      </c>
      <c r="T34" s="24">
        <f t="shared" ref="T34" si="63">IF(AND(ISBLANK(T32),ISBLANK(T33)),"A",IFERROR(+MOD(T33-T32,1),T31))</f>
        <v>0.375</v>
      </c>
      <c r="U34" s="24">
        <f t="shared" ref="U34" si="64">IF(AND(ISBLANK(U32),ISBLANK(U33)),"A",IFERROR(+MOD(U33-U32,1),U31))</f>
        <v>0.375</v>
      </c>
      <c r="V34" s="24">
        <f t="shared" ref="V34" si="65">IF(AND(ISBLANK(V32),ISBLANK(V33)),"A",IFERROR(+MOD(V33-V32,1),V31))</f>
        <v>0.375</v>
      </c>
      <c r="W34" s="24">
        <f t="shared" ref="W34" si="66">IF(AND(ISBLANK(W32),ISBLANK(W33)),"A",IFERROR(+MOD(W33-W32,1),W31))</f>
        <v>0.375</v>
      </c>
      <c r="X34" s="24">
        <f t="shared" ref="X34" si="67">IF(AND(ISBLANK(X32),ISBLANK(X33)),"A",IFERROR(+MOD(X33-X32,1),X31))</f>
        <v>0.54166666666666663</v>
      </c>
      <c r="Y34" s="24" t="s">
        <v>5</v>
      </c>
      <c r="Z34" s="24">
        <f t="shared" ref="Z34" si="68">IF(AND(ISBLANK(Z32),ISBLANK(Z33)),"A",IFERROR(+MOD(Z33-Z32,1),Z31))</f>
        <v>0.375</v>
      </c>
      <c r="AA34" s="24">
        <f t="shared" ref="AA34" si="69">IF(AND(ISBLANK(AA32),ISBLANK(AA33)),"A",IFERROR(+MOD(AA33-AA32,1),AA31))</f>
        <v>0.375</v>
      </c>
      <c r="AB34" s="24">
        <f t="shared" ref="AB34" si="70">IF(AND(ISBLANK(AB32),ISBLANK(AB33)),"A",IFERROR(+MOD(AB33-AB32,1),AB31))</f>
        <v>0.375</v>
      </c>
      <c r="AC34" s="24">
        <f t="shared" ref="AC34" si="71">IF(AND(ISBLANK(AC32),ISBLANK(AC33)),"A",IFERROR(+MOD(AC33-AC32,1),AC31))</f>
        <v>0.22916666666666663</v>
      </c>
      <c r="AD34" s="24">
        <f t="shared" ref="AD34" si="72">IF(AND(ISBLANK(AD32),ISBLANK(AD33)),"A",IFERROR(+MOD(AD33-AD32,1),AD31))</f>
        <v>0.41666666666666663</v>
      </c>
      <c r="AE34" s="24">
        <f t="shared" ref="AE34" si="73">IF(AND(ISBLANK(AE32),ISBLANK(AE33)),"A",IFERROR(+MOD(AE33-AE32,1),AE31))</f>
        <v>0.375</v>
      </c>
      <c r="AF34" s="24" t="s">
        <v>5</v>
      </c>
      <c r="AG34" s="24">
        <f t="shared" ref="AG34" si="74">IF(AND(ISBLANK(AG32),ISBLANK(AG33)),"A",IFERROR(+MOD(AG33-AG32,1),AG31))</f>
        <v>0.375</v>
      </c>
      <c r="AH34" s="24">
        <f t="shared" ref="AH34" si="75">IF(AND(ISBLANK(AH32),ISBLANK(AH33)),"A",IFERROR(+MOD(AH33-AH32,1),AH31))</f>
        <v>0.375</v>
      </c>
      <c r="AI34" s="24">
        <f t="shared" ref="AI34:AK34" si="76">IF(AND(ISBLANK(AI32),ISBLANK(AI33)),"A",IFERROR(+MOD(AI33-AI32,1),AI31))</f>
        <v>0.875</v>
      </c>
      <c r="AJ34" s="24">
        <f t="shared" si="76"/>
        <v>0.39583333333333337</v>
      </c>
      <c r="AK34" s="24">
        <f t="shared" si="76"/>
        <v>0.5</v>
      </c>
      <c r="AL34" s="24">
        <f t="shared" ref="AL34" si="77">IF(AND(ISBLANK(AL32),ISBLANK(AL33)),"A",IFERROR(+MOD(AL33-AL32,1),AL31))</f>
        <v>0.47916666666666663</v>
      </c>
      <c r="AM34" s="24" t="s">
        <v>5</v>
      </c>
      <c r="AN34" s="17">
        <f>COUNT(F34:AM34)</f>
        <v>27</v>
      </c>
      <c r="AO34" s="21"/>
    </row>
    <row r="35" spans="1:41 16380:16380">
      <c r="A35" s="8" t="s">
        <v>132</v>
      </c>
      <c r="B35" s="12" t="s">
        <v>233</v>
      </c>
      <c r="C35" s="10" t="s">
        <v>20</v>
      </c>
      <c r="D35" s="10" t="s">
        <v>41</v>
      </c>
      <c r="E35" s="10" t="s">
        <v>148</v>
      </c>
      <c r="F35" s="11">
        <v>45870</v>
      </c>
      <c r="G35" s="12" t="s">
        <v>32</v>
      </c>
      <c r="H35" s="12" t="s">
        <v>18</v>
      </c>
      <c r="I35" s="13" t="s">
        <v>4</v>
      </c>
      <c r="J35" s="2" t="s">
        <v>6</v>
      </c>
      <c r="K35" s="2" t="s">
        <v>5</v>
      </c>
      <c r="L35" s="2" t="s">
        <v>6</v>
      </c>
      <c r="M35" s="2" t="s">
        <v>6</v>
      </c>
      <c r="N35" s="2" t="s">
        <v>6</v>
      </c>
      <c r="O35" s="2" t="s">
        <v>6</v>
      </c>
      <c r="P35" s="2" t="s">
        <v>6</v>
      </c>
      <c r="Q35" s="2" t="s">
        <v>6</v>
      </c>
      <c r="R35" s="2" t="s">
        <v>5</v>
      </c>
      <c r="S35" s="2" t="s">
        <v>6</v>
      </c>
      <c r="T35" s="2" t="s">
        <v>5</v>
      </c>
      <c r="U35" s="2" t="s">
        <v>6</v>
      </c>
      <c r="V35" s="2" t="s">
        <v>6</v>
      </c>
      <c r="W35" s="2" t="s">
        <v>6</v>
      </c>
      <c r="X35" s="2" t="s">
        <v>6</v>
      </c>
      <c r="Y35" s="2" t="s">
        <v>5</v>
      </c>
      <c r="Z35" s="2" t="s">
        <v>6</v>
      </c>
      <c r="AA35" s="2" t="s">
        <v>6</v>
      </c>
      <c r="AB35" s="2" t="s">
        <v>6</v>
      </c>
      <c r="AC35" s="2" t="s">
        <v>6</v>
      </c>
      <c r="AD35" s="2" t="s">
        <v>6</v>
      </c>
      <c r="AE35" s="2" t="s">
        <v>6</v>
      </c>
      <c r="AF35" s="2" t="s">
        <v>5</v>
      </c>
      <c r="AG35" s="2" t="s">
        <v>199</v>
      </c>
      <c r="AH35" s="2" t="s">
        <v>6</v>
      </c>
      <c r="AI35" s="2" t="s">
        <v>6</v>
      </c>
      <c r="AJ35" s="2" t="s">
        <v>6</v>
      </c>
      <c r="AK35" s="2" t="s">
        <v>6</v>
      </c>
      <c r="AL35" s="2" t="s">
        <v>6</v>
      </c>
      <c r="AM35" s="2" t="s">
        <v>5</v>
      </c>
      <c r="AN35" s="20"/>
      <c r="AO35" s="12" t="s">
        <v>18</v>
      </c>
    </row>
    <row r="36" spans="1:41 16380:16380">
      <c r="A36" s="1" t="s">
        <v>132</v>
      </c>
      <c r="B36" s="12" t="s">
        <v>233</v>
      </c>
      <c r="C36" s="1" t="s">
        <v>20</v>
      </c>
      <c r="D36" s="1" t="s">
        <v>41</v>
      </c>
      <c r="E36" s="1" t="s">
        <v>148</v>
      </c>
      <c r="F36" s="6">
        <v>45870</v>
      </c>
      <c r="G36" s="1" t="s">
        <v>32</v>
      </c>
      <c r="H36" s="12" t="s">
        <v>18</v>
      </c>
      <c r="I36" s="7" t="s">
        <v>7</v>
      </c>
      <c r="J36" s="2">
        <v>0.375</v>
      </c>
      <c r="K36" s="2" t="s">
        <v>5</v>
      </c>
      <c r="L36" s="2">
        <v>0.375</v>
      </c>
      <c r="M36" s="2">
        <v>0.58333333333333337</v>
      </c>
      <c r="N36" s="2">
        <v>0.41666666666666669</v>
      </c>
      <c r="O36" s="2">
        <v>0.41666666666666669</v>
      </c>
      <c r="P36" s="2">
        <v>0.375</v>
      </c>
      <c r="Q36" s="2">
        <v>0.375</v>
      </c>
      <c r="R36" s="2" t="s">
        <v>5</v>
      </c>
      <c r="S36" s="2">
        <v>0.39583333333333331</v>
      </c>
      <c r="T36" s="2" t="s">
        <v>5</v>
      </c>
      <c r="U36" s="2">
        <v>0.39930555555555558</v>
      </c>
      <c r="V36" s="2">
        <v>0.375</v>
      </c>
      <c r="W36" s="2">
        <v>0.3888888888888889</v>
      </c>
      <c r="X36" s="2">
        <v>0.40972222222222227</v>
      </c>
      <c r="Y36" s="2" t="s">
        <v>5</v>
      </c>
      <c r="Z36" s="2">
        <v>0.375</v>
      </c>
      <c r="AA36" s="2">
        <v>0.375</v>
      </c>
      <c r="AB36" s="2">
        <v>0.375</v>
      </c>
      <c r="AC36" s="2">
        <v>0.40277777777777773</v>
      </c>
      <c r="AD36" s="2">
        <v>0.40972222222222227</v>
      </c>
      <c r="AE36" s="2">
        <v>0.40972222222222227</v>
      </c>
      <c r="AF36" s="2" t="s">
        <v>5</v>
      </c>
      <c r="AG36" s="2">
        <v>0.41666666666666669</v>
      </c>
      <c r="AH36" s="2">
        <v>0.40625</v>
      </c>
      <c r="AI36" s="2">
        <v>0.4201388888888889</v>
      </c>
      <c r="AJ36" s="2">
        <v>0.41666666666666669</v>
      </c>
      <c r="AK36" s="2">
        <v>0.5</v>
      </c>
      <c r="AL36" s="2">
        <v>0.40972222222222227</v>
      </c>
      <c r="AM36" s="2" t="s">
        <v>5</v>
      </c>
      <c r="AN36" s="20"/>
      <c r="AO36" s="12"/>
    </row>
    <row r="37" spans="1:41 16380:16380">
      <c r="A37" s="1" t="s">
        <v>132</v>
      </c>
      <c r="B37" s="12" t="s">
        <v>233</v>
      </c>
      <c r="C37" s="1" t="s">
        <v>20</v>
      </c>
      <c r="D37" s="1" t="s">
        <v>41</v>
      </c>
      <c r="E37" s="1" t="s">
        <v>148</v>
      </c>
      <c r="F37" s="6">
        <v>45870</v>
      </c>
      <c r="G37" s="1" t="s">
        <v>32</v>
      </c>
      <c r="H37" s="12" t="s">
        <v>18</v>
      </c>
      <c r="I37" s="7" t="s">
        <v>8</v>
      </c>
      <c r="J37" s="2">
        <v>0.92361111111111116</v>
      </c>
      <c r="K37" s="2" t="s">
        <v>5</v>
      </c>
      <c r="L37" s="2">
        <v>0.75</v>
      </c>
      <c r="M37" s="2">
        <v>0.99305555555555547</v>
      </c>
      <c r="N37" s="2">
        <v>0.99305555555555547</v>
      </c>
      <c r="O37" s="2">
        <v>0.95833333333333337</v>
      </c>
      <c r="P37" s="2">
        <v>0.75</v>
      </c>
      <c r="Q37" s="2">
        <v>0.16666666666666666</v>
      </c>
      <c r="R37" s="2" t="s">
        <v>5</v>
      </c>
      <c r="S37" s="2">
        <v>0.875</v>
      </c>
      <c r="T37" s="2" t="s">
        <v>5</v>
      </c>
      <c r="U37" s="2">
        <v>0.99305555555555547</v>
      </c>
      <c r="V37" s="2">
        <v>0.75</v>
      </c>
      <c r="W37" s="2">
        <v>7.2916666666666671E-2</v>
      </c>
      <c r="X37" s="2">
        <v>0.10416666666666667</v>
      </c>
      <c r="Y37" s="2" t="s">
        <v>5</v>
      </c>
      <c r="Z37" s="2">
        <v>0.875</v>
      </c>
      <c r="AA37" s="2">
        <v>0.9375</v>
      </c>
      <c r="AB37" s="2">
        <v>8.3333333333333329E-2</v>
      </c>
      <c r="AC37" s="2">
        <v>0.79513888888888884</v>
      </c>
      <c r="AD37" s="2">
        <v>0.84722222222222221</v>
      </c>
      <c r="AE37" s="2">
        <v>0.22222222222222221</v>
      </c>
      <c r="AF37" s="2" t="s">
        <v>5</v>
      </c>
      <c r="AG37" s="2">
        <v>0.96875</v>
      </c>
      <c r="AH37" s="2">
        <v>0.98611111111111116</v>
      </c>
      <c r="AI37" s="2">
        <v>5.5555555555555552E-2</v>
      </c>
      <c r="AJ37" s="2">
        <v>0.59027777777777779</v>
      </c>
      <c r="AK37" s="2">
        <v>1.0208333333333333</v>
      </c>
      <c r="AL37" s="2">
        <v>0.15972222222222224</v>
      </c>
      <c r="AM37" s="2" t="s">
        <v>5</v>
      </c>
      <c r="AN37" s="20"/>
      <c r="AO37" s="12"/>
      <c r="XEZ37" s="2">
        <v>0.75</v>
      </c>
    </row>
    <row r="38" spans="1:41 16380:16380">
      <c r="A38" s="21" t="s">
        <v>132</v>
      </c>
      <c r="B38" s="21" t="s">
        <v>233</v>
      </c>
      <c r="C38" s="21" t="s">
        <v>20</v>
      </c>
      <c r="D38" s="21" t="s">
        <v>41</v>
      </c>
      <c r="E38" s="21" t="s">
        <v>148</v>
      </c>
      <c r="F38" s="22">
        <v>45870</v>
      </c>
      <c r="G38" s="21" t="s">
        <v>32</v>
      </c>
      <c r="H38" s="21" t="s">
        <v>18</v>
      </c>
      <c r="I38" s="23" t="s">
        <v>9</v>
      </c>
      <c r="J38" s="24">
        <f>IF(AND(ISBLANK(J36),ISBLANK(J37)),"A",IFERROR(+MOD(J37-J36,1),J35))</f>
        <v>0.54861111111111116</v>
      </c>
      <c r="K38" s="24" t="s">
        <v>5</v>
      </c>
      <c r="L38" s="24">
        <f t="shared" ref="L38" si="78">IF(AND(ISBLANK(L36),ISBLANK(L37)),"A",IFERROR(+MOD(L37-L36,1),L35))</f>
        <v>0.375</v>
      </c>
      <c r="M38" s="24" t="s">
        <v>5</v>
      </c>
      <c r="N38" s="24">
        <f t="shared" ref="N38" si="79">IF(AND(ISBLANK(N36),ISBLANK(N37)),"A",IFERROR(+MOD(N37-N36,1),N35))</f>
        <v>0.57638888888888884</v>
      </c>
      <c r="O38" s="24">
        <f t="shared" ref="O38" si="80">IF(AND(ISBLANK(O36),ISBLANK(O37)),"A",IFERROR(+MOD(O37-O36,1),O35))</f>
        <v>0.54166666666666674</v>
      </c>
      <c r="P38" s="24">
        <f t="shared" ref="P38" si="81">IF(AND(ISBLANK(P36),ISBLANK(P37)),"A",IFERROR(+MOD(P37-P36,1),P35))</f>
        <v>0.375</v>
      </c>
      <c r="Q38" s="24">
        <f t="shared" ref="Q38" si="82">IF(AND(ISBLANK(Q36),ISBLANK(Q37)),"A",IFERROR(+MOD(Q37-Q36,1),Q35))</f>
        <v>0.79166666666666663</v>
      </c>
      <c r="R38" s="24" t="s">
        <v>5</v>
      </c>
      <c r="S38" s="24">
        <f t="shared" ref="S38" si="83">IF(AND(ISBLANK(S36),ISBLANK(S37)),"A",IFERROR(+MOD(S37-S36,1),S35))</f>
        <v>0.47916666666666669</v>
      </c>
      <c r="T38" s="24" t="s">
        <v>5</v>
      </c>
      <c r="U38" s="24">
        <f t="shared" ref="U38" si="84">IF(AND(ISBLANK(U36),ISBLANK(U37)),"A",IFERROR(+MOD(U37-U36,1),U35))</f>
        <v>0.59374999999999989</v>
      </c>
      <c r="V38" s="24">
        <f t="shared" ref="V38" si="85">IF(AND(ISBLANK(V36),ISBLANK(V37)),"A",IFERROR(+MOD(V37-V36,1),V35))</f>
        <v>0.375</v>
      </c>
      <c r="W38" s="24">
        <f t="shared" ref="W38" si="86">IF(AND(ISBLANK(W36),ISBLANK(W37)),"A",IFERROR(+MOD(W37-W36,1),W35))</f>
        <v>0.68402777777777779</v>
      </c>
      <c r="X38" s="24">
        <f t="shared" ref="X38" si="87">IF(AND(ISBLANK(X36),ISBLANK(X37)),"A",IFERROR(+MOD(X37-X36,1),X35))</f>
        <v>0.69444444444444442</v>
      </c>
      <c r="Y38" s="24" t="s">
        <v>5</v>
      </c>
      <c r="Z38" s="24">
        <f t="shared" ref="Z38" si="88">IF(AND(ISBLANK(Z36),ISBLANK(Z37)),"A",IFERROR(+MOD(Z37-Z36,1),Z35))</f>
        <v>0.5</v>
      </c>
      <c r="AA38" s="24">
        <f t="shared" ref="AA38" si="89">IF(AND(ISBLANK(AA36),ISBLANK(AA37)),"A",IFERROR(+MOD(AA37-AA36,1),AA35))</f>
        <v>0.5625</v>
      </c>
      <c r="AB38" s="24">
        <f t="shared" ref="AB38" si="90">IF(AND(ISBLANK(AB36),ISBLANK(AB37)),"A",IFERROR(+MOD(AB37-AB36,1),AB35))</f>
        <v>0.70833333333333326</v>
      </c>
      <c r="AC38" s="24">
        <f t="shared" ref="AC38" si="91">IF(AND(ISBLANK(AC36),ISBLANK(AC37)),"A",IFERROR(+MOD(AC37-AC36,1),AC35))</f>
        <v>0.3923611111111111</v>
      </c>
      <c r="AD38" s="24">
        <f t="shared" ref="AD38" si="92">IF(AND(ISBLANK(AD36),ISBLANK(AD37)),"A",IFERROR(+MOD(AD37-AD36,1),AD35))</f>
        <v>0.43749999999999994</v>
      </c>
      <c r="AE38" s="24">
        <f t="shared" ref="AE38" si="93">IF(AND(ISBLANK(AE36),ISBLANK(AE37)),"A",IFERROR(+MOD(AE37-AE36,1),AE35))</f>
        <v>0.8125</v>
      </c>
      <c r="AF38" s="24" t="s">
        <v>5</v>
      </c>
      <c r="AG38" s="24">
        <f t="shared" ref="AG38" si="94">IF(AND(ISBLANK(AG36),ISBLANK(AG37)),"A",IFERROR(+MOD(AG37-AG36,1),AG35))</f>
        <v>0.55208333333333326</v>
      </c>
      <c r="AH38" s="24">
        <f t="shared" ref="AH38" si="95">IF(AND(ISBLANK(AH36),ISBLANK(AH37)),"A",IFERROR(+MOD(AH37-AH36,1),AH35))</f>
        <v>0.57986111111111116</v>
      </c>
      <c r="AI38" s="24">
        <f t="shared" ref="AI38" si="96">IF(AND(ISBLANK(AI36),ISBLANK(AI37)),"A",IFERROR(+MOD(AI37-AI36,1),AI35))</f>
        <v>0.63541666666666663</v>
      </c>
      <c r="AJ38" s="24">
        <f t="shared" ref="AJ38:AK38" si="97">IF(AND(ISBLANK(AJ36),ISBLANK(AJ37)),"A",IFERROR(+MOD(AJ37-AJ36,1),AJ35))</f>
        <v>0.1736111111111111</v>
      </c>
      <c r="AK38" s="24">
        <f t="shared" si="97"/>
        <v>0.52083333333333326</v>
      </c>
      <c r="AL38" s="24">
        <f t="shared" ref="AL38" si="98">IF(AND(ISBLANK(AL36),ISBLANK(AL37)),"A",IFERROR(+MOD(AL37-AL36,1),AL35))</f>
        <v>0.75</v>
      </c>
      <c r="AM38" s="24" t="s">
        <v>5</v>
      </c>
      <c r="AN38" s="17">
        <f>COUNT(F38:AM38)</f>
        <v>24</v>
      </c>
      <c r="AO38" s="21"/>
    </row>
    <row r="39" spans="1:41 16380:16380">
      <c r="A39" s="8" t="s">
        <v>112</v>
      </c>
      <c r="B39" s="12" t="s">
        <v>230</v>
      </c>
      <c r="C39" s="10" t="s">
        <v>151</v>
      </c>
      <c r="D39" s="10" t="s">
        <v>157</v>
      </c>
      <c r="E39" s="10" t="s">
        <v>62</v>
      </c>
      <c r="F39" s="11">
        <v>45871</v>
      </c>
      <c r="G39" s="12" t="s">
        <v>32</v>
      </c>
      <c r="H39" s="12" t="s">
        <v>18</v>
      </c>
      <c r="I39" s="13" t="s">
        <v>4</v>
      </c>
      <c r="J39" s="2" t="s">
        <v>6</v>
      </c>
      <c r="K39" s="2" t="s">
        <v>5</v>
      </c>
      <c r="L39" s="2" t="s">
        <v>5</v>
      </c>
      <c r="M39" s="2" t="s">
        <v>5</v>
      </c>
      <c r="N39" s="2" t="s">
        <v>5</v>
      </c>
      <c r="O39" s="2" t="s">
        <v>5</v>
      </c>
      <c r="P39" s="2" t="s">
        <v>5</v>
      </c>
      <c r="Q39" s="2" t="s">
        <v>5</v>
      </c>
      <c r="R39" s="2" t="s">
        <v>5</v>
      </c>
      <c r="S39" s="2" t="s">
        <v>5</v>
      </c>
      <c r="T39" s="2" t="s">
        <v>5</v>
      </c>
      <c r="U39" s="2" t="s">
        <v>5</v>
      </c>
      <c r="V39" s="2" t="s">
        <v>5</v>
      </c>
      <c r="W39" s="2" t="s">
        <v>5</v>
      </c>
      <c r="X39" s="2" t="s">
        <v>5</v>
      </c>
      <c r="Y39" s="2" t="s">
        <v>5</v>
      </c>
      <c r="Z39" s="2" t="s">
        <v>5</v>
      </c>
      <c r="AA39" s="2" t="s">
        <v>5</v>
      </c>
      <c r="AB39" s="2" t="s">
        <v>5</v>
      </c>
      <c r="AC39" s="2" t="s">
        <v>5</v>
      </c>
      <c r="AD39" s="2" t="s">
        <v>5</v>
      </c>
      <c r="AE39" s="2" t="s">
        <v>5</v>
      </c>
      <c r="AF39" s="2" t="s">
        <v>5</v>
      </c>
      <c r="AG39" s="2" t="s">
        <v>5</v>
      </c>
      <c r="AH39" s="2" t="s">
        <v>5</v>
      </c>
      <c r="AI39" s="2" t="s">
        <v>5</v>
      </c>
      <c r="AJ39" s="2" t="s">
        <v>5</v>
      </c>
      <c r="AK39" s="2" t="s">
        <v>5</v>
      </c>
      <c r="AL39" s="2" t="s">
        <v>5</v>
      </c>
      <c r="AM39" s="2" t="s">
        <v>5</v>
      </c>
      <c r="AN39" s="20"/>
      <c r="AO39" s="12" t="s">
        <v>17</v>
      </c>
    </row>
    <row r="40" spans="1:41 16380:16380">
      <c r="A40" s="1" t="s">
        <v>112</v>
      </c>
      <c r="B40" s="12" t="s">
        <v>230</v>
      </c>
      <c r="C40" s="1" t="s">
        <v>151</v>
      </c>
      <c r="D40" s="1" t="s">
        <v>157</v>
      </c>
      <c r="E40" s="1" t="s">
        <v>62</v>
      </c>
      <c r="F40" s="6">
        <v>45871</v>
      </c>
      <c r="G40" s="1" t="s">
        <v>32</v>
      </c>
      <c r="H40" s="12" t="s">
        <v>18</v>
      </c>
      <c r="I40" s="7" t="s">
        <v>7</v>
      </c>
      <c r="J40" s="2">
        <v>0.375</v>
      </c>
      <c r="K40" s="2" t="s">
        <v>5</v>
      </c>
      <c r="L40" s="2" t="s">
        <v>5</v>
      </c>
      <c r="M40" s="2" t="s">
        <v>5</v>
      </c>
      <c r="N40" s="2" t="s">
        <v>5</v>
      </c>
      <c r="O40" s="2" t="s">
        <v>5</v>
      </c>
      <c r="P40" s="2" t="s">
        <v>5</v>
      </c>
      <c r="Q40" s="2" t="s">
        <v>5</v>
      </c>
      <c r="R40" s="2" t="s">
        <v>5</v>
      </c>
      <c r="S40" s="2" t="s">
        <v>5</v>
      </c>
      <c r="T40" s="2" t="s">
        <v>5</v>
      </c>
      <c r="U40" s="2" t="s">
        <v>5</v>
      </c>
      <c r="V40" s="2" t="s">
        <v>5</v>
      </c>
      <c r="W40" s="2" t="s">
        <v>5</v>
      </c>
      <c r="X40" s="2" t="s">
        <v>5</v>
      </c>
      <c r="Y40" s="2" t="s">
        <v>5</v>
      </c>
      <c r="Z40" s="2" t="s">
        <v>5</v>
      </c>
      <c r="AA40" s="2" t="s">
        <v>5</v>
      </c>
      <c r="AB40" s="2" t="s">
        <v>5</v>
      </c>
      <c r="AC40" s="2" t="s">
        <v>5</v>
      </c>
      <c r="AD40" s="2" t="s">
        <v>5</v>
      </c>
      <c r="AE40" s="2" t="s">
        <v>5</v>
      </c>
      <c r="AF40" s="2" t="s">
        <v>5</v>
      </c>
      <c r="AG40" s="2" t="s">
        <v>5</v>
      </c>
      <c r="AH40" s="2" t="s">
        <v>5</v>
      </c>
      <c r="AI40" s="2" t="s">
        <v>5</v>
      </c>
      <c r="AJ40" s="2" t="s">
        <v>5</v>
      </c>
      <c r="AK40" s="2" t="s">
        <v>5</v>
      </c>
      <c r="AL40" s="2" t="s">
        <v>5</v>
      </c>
      <c r="AM40" s="2" t="s">
        <v>5</v>
      </c>
      <c r="AN40" s="20"/>
      <c r="AO40" s="12"/>
    </row>
    <row r="41" spans="1:41 16380:16380">
      <c r="A41" s="1" t="s">
        <v>112</v>
      </c>
      <c r="B41" s="12" t="s">
        <v>230</v>
      </c>
      <c r="C41" s="1" t="s">
        <v>151</v>
      </c>
      <c r="D41" s="1" t="s">
        <v>157</v>
      </c>
      <c r="E41" s="1" t="s">
        <v>62</v>
      </c>
      <c r="F41" s="6">
        <v>45871</v>
      </c>
      <c r="G41" s="1" t="s">
        <v>32</v>
      </c>
      <c r="H41" s="12" t="s">
        <v>18</v>
      </c>
      <c r="I41" s="7" t="s">
        <v>8</v>
      </c>
      <c r="J41" s="2">
        <v>0.85555555555555562</v>
      </c>
      <c r="K41" s="2" t="s">
        <v>5</v>
      </c>
      <c r="L41" s="2" t="s">
        <v>5</v>
      </c>
      <c r="M41" s="2" t="s">
        <v>5</v>
      </c>
      <c r="N41" s="2" t="s">
        <v>5</v>
      </c>
      <c r="O41" s="2" t="s">
        <v>5</v>
      </c>
      <c r="P41" s="2" t="s">
        <v>5</v>
      </c>
      <c r="Q41" s="2" t="s">
        <v>5</v>
      </c>
      <c r="R41" s="2" t="s">
        <v>5</v>
      </c>
      <c r="S41" s="2" t="s">
        <v>5</v>
      </c>
      <c r="T41" s="2" t="s">
        <v>5</v>
      </c>
      <c r="U41" s="2" t="s">
        <v>5</v>
      </c>
      <c r="V41" s="2" t="s">
        <v>5</v>
      </c>
      <c r="W41" s="2" t="s">
        <v>5</v>
      </c>
      <c r="X41" s="2" t="s">
        <v>5</v>
      </c>
      <c r="Y41" s="2" t="s">
        <v>5</v>
      </c>
      <c r="Z41" s="2" t="s">
        <v>5</v>
      </c>
      <c r="AA41" s="2" t="s">
        <v>5</v>
      </c>
      <c r="AB41" s="2" t="s">
        <v>5</v>
      </c>
      <c r="AC41" s="2" t="s">
        <v>5</v>
      </c>
      <c r="AD41" s="2" t="s">
        <v>5</v>
      </c>
      <c r="AE41" s="2" t="s">
        <v>5</v>
      </c>
      <c r="AF41" s="2" t="s">
        <v>5</v>
      </c>
      <c r="AG41" s="2" t="s">
        <v>5</v>
      </c>
      <c r="AH41" s="2" t="s">
        <v>5</v>
      </c>
      <c r="AI41" s="2" t="s">
        <v>5</v>
      </c>
      <c r="AJ41" s="2" t="s">
        <v>5</v>
      </c>
      <c r="AK41" s="2" t="s">
        <v>5</v>
      </c>
      <c r="AL41" s="2" t="s">
        <v>5</v>
      </c>
      <c r="AM41" s="2" t="s">
        <v>5</v>
      </c>
      <c r="AN41" s="20"/>
      <c r="AO41" s="12"/>
    </row>
    <row r="42" spans="1:41 16380:16380">
      <c r="A42" s="21" t="s">
        <v>112</v>
      </c>
      <c r="B42" s="21" t="s">
        <v>230</v>
      </c>
      <c r="C42" s="21" t="s">
        <v>151</v>
      </c>
      <c r="D42" s="21" t="s">
        <v>157</v>
      </c>
      <c r="E42" s="21" t="s">
        <v>62</v>
      </c>
      <c r="F42" s="22">
        <v>45871</v>
      </c>
      <c r="G42" s="21" t="s">
        <v>32</v>
      </c>
      <c r="H42" s="21" t="s">
        <v>18</v>
      </c>
      <c r="I42" s="23" t="s">
        <v>9</v>
      </c>
      <c r="J42" s="24">
        <f>IF(AND(ISBLANK(J40),ISBLANK(J41)),"A",IFERROR(+MOD(J41-J40,1),J39))</f>
        <v>0.48055555555555562</v>
      </c>
      <c r="K42" s="24" t="s">
        <v>5</v>
      </c>
      <c r="L42" s="24" t="s">
        <v>5</v>
      </c>
      <c r="M42" s="24" t="s">
        <v>5</v>
      </c>
      <c r="N42" s="24" t="s">
        <v>5</v>
      </c>
      <c r="O42" s="24" t="s">
        <v>5</v>
      </c>
      <c r="P42" s="24" t="s">
        <v>5</v>
      </c>
      <c r="Q42" s="24" t="s">
        <v>5</v>
      </c>
      <c r="R42" s="24" t="s">
        <v>5</v>
      </c>
      <c r="S42" s="24" t="s">
        <v>5</v>
      </c>
      <c r="T42" s="24" t="s">
        <v>5</v>
      </c>
      <c r="U42" s="24" t="s">
        <v>5</v>
      </c>
      <c r="V42" s="24" t="s">
        <v>5</v>
      </c>
      <c r="W42" s="24" t="s">
        <v>5</v>
      </c>
      <c r="X42" s="24" t="s">
        <v>5</v>
      </c>
      <c r="Y42" s="24" t="s">
        <v>5</v>
      </c>
      <c r="Z42" s="24" t="s">
        <v>5</v>
      </c>
      <c r="AA42" s="24" t="s">
        <v>5</v>
      </c>
      <c r="AB42" s="24" t="s">
        <v>5</v>
      </c>
      <c r="AC42" s="24" t="s">
        <v>5</v>
      </c>
      <c r="AD42" s="24" t="s">
        <v>5</v>
      </c>
      <c r="AE42" s="24" t="s">
        <v>5</v>
      </c>
      <c r="AF42" s="24" t="s">
        <v>5</v>
      </c>
      <c r="AG42" s="24" t="s">
        <v>5</v>
      </c>
      <c r="AH42" s="24" t="s">
        <v>5</v>
      </c>
      <c r="AI42" s="24" t="s">
        <v>5</v>
      </c>
      <c r="AJ42" s="24" t="s">
        <v>5</v>
      </c>
      <c r="AK42" s="24" t="s">
        <v>5</v>
      </c>
      <c r="AL42" s="24" t="s">
        <v>5</v>
      </c>
      <c r="AM42" s="24" t="s">
        <v>5</v>
      </c>
      <c r="AN42" s="17">
        <f>COUNT(F42:AM42)</f>
        <v>2</v>
      </c>
      <c r="AO42" s="21"/>
    </row>
    <row r="43" spans="1:41 16380:16380">
      <c r="A43" s="8" t="s">
        <v>136</v>
      </c>
      <c r="B43" s="12" t="s">
        <v>230</v>
      </c>
      <c r="C43" s="10" t="s">
        <v>70</v>
      </c>
      <c r="D43" s="10" t="s">
        <v>41</v>
      </c>
      <c r="E43" s="10" t="s">
        <v>75</v>
      </c>
      <c r="F43" s="11">
        <v>45870</v>
      </c>
      <c r="G43" s="12" t="s">
        <v>32</v>
      </c>
      <c r="H43" s="12" t="s">
        <v>18</v>
      </c>
      <c r="I43" s="13" t="s">
        <v>4</v>
      </c>
      <c r="J43" s="2" t="s">
        <v>6</v>
      </c>
      <c r="K43" s="2" t="s">
        <v>6</v>
      </c>
      <c r="L43" s="2" t="s">
        <v>215</v>
      </c>
      <c r="M43" s="2" t="s">
        <v>215</v>
      </c>
      <c r="N43" s="2" t="s">
        <v>215</v>
      </c>
      <c r="O43" s="2" t="s">
        <v>6</v>
      </c>
      <c r="P43" s="2" t="s">
        <v>6</v>
      </c>
      <c r="Q43" s="2" t="s">
        <v>6</v>
      </c>
      <c r="R43" s="2" t="s">
        <v>5</v>
      </c>
      <c r="S43" s="2" t="s">
        <v>5</v>
      </c>
      <c r="T43" s="2" t="s">
        <v>6</v>
      </c>
      <c r="U43" s="2" t="s">
        <v>6</v>
      </c>
      <c r="V43" s="2" t="s">
        <v>6</v>
      </c>
      <c r="W43" s="2" t="s">
        <v>6</v>
      </c>
      <c r="X43" s="2" t="s">
        <v>5</v>
      </c>
      <c r="Y43" s="2" t="s">
        <v>5</v>
      </c>
      <c r="Z43" s="2" t="s">
        <v>6</v>
      </c>
      <c r="AA43" s="2" t="s">
        <v>6</v>
      </c>
      <c r="AB43" s="2" t="s">
        <v>5</v>
      </c>
      <c r="AC43" s="2" t="s">
        <v>6</v>
      </c>
      <c r="AD43" s="2" t="s">
        <v>6</v>
      </c>
      <c r="AE43" s="2" t="s">
        <v>6</v>
      </c>
      <c r="AF43" s="2" t="s">
        <v>5</v>
      </c>
      <c r="AG43" s="2" t="s">
        <v>6</v>
      </c>
      <c r="AH43" s="2" t="s">
        <v>6</v>
      </c>
      <c r="AI43" s="2" t="s">
        <v>6</v>
      </c>
      <c r="AJ43" s="2" t="s">
        <v>5</v>
      </c>
      <c r="AK43" s="2" t="s">
        <v>6</v>
      </c>
      <c r="AL43" s="2" t="s">
        <v>6</v>
      </c>
      <c r="AM43" s="2" t="s">
        <v>5</v>
      </c>
      <c r="AN43" s="20"/>
      <c r="AO43" s="12" t="s">
        <v>18</v>
      </c>
    </row>
    <row r="44" spans="1:41 16380:16380">
      <c r="A44" s="1" t="s">
        <v>136</v>
      </c>
      <c r="B44" s="12" t="s">
        <v>230</v>
      </c>
      <c r="C44" s="1" t="s">
        <v>70</v>
      </c>
      <c r="D44" s="1" t="s">
        <v>41</v>
      </c>
      <c r="E44" s="1" t="s">
        <v>75</v>
      </c>
      <c r="F44" s="6">
        <v>45870</v>
      </c>
      <c r="G44" s="1" t="s">
        <v>32</v>
      </c>
      <c r="H44" s="12" t="s">
        <v>18</v>
      </c>
      <c r="I44" s="7" t="s">
        <v>7</v>
      </c>
      <c r="J44" s="2">
        <v>0.375</v>
      </c>
      <c r="K44" s="2">
        <v>0.375</v>
      </c>
      <c r="L44" s="2" t="s">
        <v>215</v>
      </c>
      <c r="M44" s="2" t="s">
        <v>215</v>
      </c>
      <c r="N44" s="2" t="s">
        <v>215</v>
      </c>
      <c r="O44" s="2">
        <v>0.375</v>
      </c>
      <c r="P44" s="2">
        <v>0.375</v>
      </c>
      <c r="Q44" s="2">
        <v>0.375</v>
      </c>
      <c r="R44" s="2" t="s">
        <v>5</v>
      </c>
      <c r="S44" s="2" t="s">
        <v>5</v>
      </c>
      <c r="T44" s="2">
        <v>0.375</v>
      </c>
      <c r="U44" s="2">
        <v>0.375</v>
      </c>
      <c r="V44" s="2">
        <v>0.375</v>
      </c>
      <c r="W44" s="2">
        <v>0.36805555555555558</v>
      </c>
      <c r="X44" s="2" t="s">
        <v>5</v>
      </c>
      <c r="Y44" s="2" t="s">
        <v>5</v>
      </c>
      <c r="Z44" s="2">
        <v>0.375</v>
      </c>
      <c r="AA44" s="2">
        <v>0.375</v>
      </c>
      <c r="AB44" s="2" t="s">
        <v>5</v>
      </c>
      <c r="AC44" s="2">
        <v>0.375</v>
      </c>
      <c r="AD44" s="2">
        <v>0.375</v>
      </c>
      <c r="AE44" s="2">
        <v>0.38194444444444442</v>
      </c>
      <c r="AF44" s="2" t="s">
        <v>5</v>
      </c>
      <c r="AG44" s="2">
        <v>0.3888888888888889</v>
      </c>
      <c r="AH44" s="2">
        <v>0.86805555555555547</v>
      </c>
      <c r="AI44" s="2">
        <v>0.79166666666666663</v>
      </c>
      <c r="AJ44" s="2" t="s">
        <v>5</v>
      </c>
      <c r="AK44" s="2">
        <v>0.79166666666666663</v>
      </c>
      <c r="AL44" s="2">
        <v>0.83333333333333337</v>
      </c>
      <c r="AM44" s="2" t="s">
        <v>5</v>
      </c>
      <c r="AN44" s="20"/>
      <c r="AO44" s="12"/>
    </row>
    <row r="45" spans="1:41 16380:16380">
      <c r="A45" s="1" t="s">
        <v>136</v>
      </c>
      <c r="B45" s="12" t="s">
        <v>230</v>
      </c>
      <c r="C45" s="1" t="s">
        <v>70</v>
      </c>
      <c r="D45" s="1" t="s">
        <v>41</v>
      </c>
      <c r="E45" s="1" t="s">
        <v>75</v>
      </c>
      <c r="F45" s="6">
        <v>45870</v>
      </c>
      <c r="G45" s="1" t="s">
        <v>32</v>
      </c>
      <c r="H45" s="12" t="s">
        <v>18</v>
      </c>
      <c r="I45" s="7" t="s">
        <v>8</v>
      </c>
      <c r="J45" s="2">
        <v>0.875</v>
      </c>
      <c r="K45" s="2">
        <v>0.21875</v>
      </c>
      <c r="L45" s="2" t="s">
        <v>215</v>
      </c>
      <c r="M45" s="2" t="s">
        <v>215</v>
      </c>
      <c r="N45" s="2" t="s">
        <v>215</v>
      </c>
      <c r="O45" s="2">
        <v>0.79166666666666663</v>
      </c>
      <c r="P45" s="2">
        <v>0.80902777777777779</v>
      </c>
      <c r="Q45" s="2">
        <v>0.85416666666666663</v>
      </c>
      <c r="R45" s="2" t="s">
        <v>5</v>
      </c>
      <c r="S45" s="2" t="s">
        <v>5</v>
      </c>
      <c r="T45" s="2">
        <v>0.79861111111111116</v>
      </c>
      <c r="U45" s="2">
        <v>0.79166666666666663</v>
      </c>
      <c r="V45" s="2">
        <v>0.79166666666666663</v>
      </c>
      <c r="W45" s="2">
        <v>0.85416666666666663</v>
      </c>
      <c r="X45" s="2" t="s">
        <v>5</v>
      </c>
      <c r="Y45" s="2" t="s">
        <v>5</v>
      </c>
      <c r="Z45" s="2">
        <v>0.875</v>
      </c>
      <c r="AA45" s="2">
        <v>0.83333333333333337</v>
      </c>
      <c r="AB45" s="2" t="s">
        <v>5</v>
      </c>
      <c r="AC45" s="2">
        <v>0.80555555555555547</v>
      </c>
      <c r="AD45" s="2">
        <v>0.80208333333333337</v>
      </c>
      <c r="AE45" s="2">
        <v>0.80555555555555547</v>
      </c>
      <c r="AF45" s="2" t="s">
        <v>5</v>
      </c>
      <c r="AG45" s="2">
        <v>0.80208333333333337</v>
      </c>
      <c r="AH45" s="2">
        <v>0.25694444444444448</v>
      </c>
      <c r="AI45" s="2">
        <v>0.25</v>
      </c>
      <c r="AJ45" s="2" t="s">
        <v>5</v>
      </c>
      <c r="AK45" s="2">
        <v>0.25</v>
      </c>
      <c r="AL45" s="2">
        <v>0.25</v>
      </c>
      <c r="AM45" s="2" t="s">
        <v>5</v>
      </c>
      <c r="AN45" s="20"/>
      <c r="AO45" s="12"/>
    </row>
    <row r="46" spans="1:41 16380:16380">
      <c r="A46" s="21" t="s">
        <v>136</v>
      </c>
      <c r="B46" s="21" t="s">
        <v>230</v>
      </c>
      <c r="C46" s="21" t="s">
        <v>70</v>
      </c>
      <c r="D46" s="21" t="s">
        <v>41</v>
      </c>
      <c r="E46" s="21" t="s">
        <v>75</v>
      </c>
      <c r="F46" s="22">
        <v>45870</v>
      </c>
      <c r="G46" s="21" t="s">
        <v>32</v>
      </c>
      <c r="H46" s="21" t="s">
        <v>18</v>
      </c>
      <c r="I46" s="23" t="s">
        <v>9</v>
      </c>
      <c r="J46" s="24">
        <f>IF(AND(ISBLANK(J44),ISBLANK(J45)),"A",IFERROR(+MOD(J45-J44,1),J43))</f>
        <v>0.5</v>
      </c>
      <c r="K46" s="24">
        <f t="shared" ref="K46" si="99">IF(AND(ISBLANK(K44),ISBLANK(K45)),"A",IFERROR(+MOD(K45-K44,1),K43))</f>
        <v>0.84375</v>
      </c>
      <c r="L46" s="24" t="s">
        <v>215</v>
      </c>
      <c r="M46" s="24" t="s">
        <v>215</v>
      </c>
      <c r="N46" s="24" t="s">
        <v>215</v>
      </c>
      <c r="O46" s="24">
        <f t="shared" ref="O46" si="100">IF(AND(ISBLANK(O44),ISBLANK(O45)),"A",IFERROR(+MOD(O45-O44,1),O43))</f>
        <v>0.41666666666666663</v>
      </c>
      <c r="P46" s="24">
        <f t="shared" ref="P46:Q46" si="101">IF(AND(ISBLANK(P44),ISBLANK(P45)),"A",IFERROR(+MOD(P45-P44,1),P43))</f>
        <v>0.43402777777777779</v>
      </c>
      <c r="Q46" s="24">
        <f t="shared" si="101"/>
        <v>0.47916666666666663</v>
      </c>
      <c r="R46" s="24" t="s">
        <v>5</v>
      </c>
      <c r="S46" s="24" t="s">
        <v>5</v>
      </c>
      <c r="T46" s="24">
        <f t="shared" ref="T46" si="102">IF(AND(ISBLANK(T44),ISBLANK(T45)),"A",IFERROR(+MOD(T45-T44,1),T43))</f>
        <v>0.42361111111111116</v>
      </c>
      <c r="U46" s="24">
        <f t="shared" ref="U46" si="103">IF(AND(ISBLANK(U44),ISBLANK(U45)),"A",IFERROR(+MOD(U45-U44,1),U43))</f>
        <v>0.41666666666666663</v>
      </c>
      <c r="V46" s="24">
        <f t="shared" ref="V46" si="104">IF(AND(ISBLANK(V44),ISBLANK(V45)),"A",IFERROR(+MOD(V45-V44,1),V43))</f>
        <v>0.41666666666666663</v>
      </c>
      <c r="W46" s="24">
        <f t="shared" ref="W46" si="105">IF(AND(ISBLANK(W44),ISBLANK(W45)),"A",IFERROR(+MOD(W45-W44,1),W43))</f>
        <v>0.48611111111111105</v>
      </c>
      <c r="X46" s="24" t="s">
        <v>5</v>
      </c>
      <c r="Y46" s="24" t="s">
        <v>5</v>
      </c>
      <c r="Z46" s="24">
        <f t="shared" ref="Z46" si="106">IF(AND(ISBLANK(Z44),ISBLANK(Z45)),"A",IFERROR(+MOD(Z45-Z44,1),Z43))</f>
        <v>0.5</v>
      </c>
      <c r="AA46" s="24">
        <f t="shared" ref="AA46" si="107">IF(AND(ISBLANK(AA44),ISBLANK(AA45)),"A",IFERROR(+MOD(AA45-AA44,1),AA43))</f>
        <v>0.45833333333333337</v>
      </c>
      <c r="AB46" s="24" t="s">
        <v>5</v>
      </c>
      <c r="AC46" s="24">
        <f t="shared" ref="AC46" si="108">IF(AND(ISBLANK(AC44),ISBLANK(AC45)),"A",IFERROR(+MOD(AC45-AC44,1),AC43))</f>
        <v>0.43055555555555547</v>
      </c>
      <c r="AD46" s="24">
        <f t="shared" ref="AD46" si="109">IF(AND(ISBLANK(AD44),ISBLANK(AD45)),"A",IFERROR(+MOD(AD45-AD44,1),AD43))</f>
        <v>0.42708333333333337</v>
      </c>
      <c r="AE46" s="24">
        <f t="shared" ref="AE46" si="110">IF(AND(ISBLANK(AE44),ISBLANK(AE45)),"A",IFERROR(+MOD(AE45-AE44,1),AE43))</f>
        <v>0.42361111111111105</v>
      </c>
      <c r="AF46" s="24" t="s">
        <v>5</v>
      </c>
      <c r="AG46" s="24">
        <f t="shared" ref="AG46:AH46" si="111">IF(AND(ISBLANK(AG44),ISBLANK(AG45)),"A",IFERROR(+MOD(AG45-AG44,1),AG43))</f>
        <v>0.41319444444444448</v>
      </c>
      <c r="AH46" s="24">
        <f t="shared" si="111"/>
        <v>0.38888888888888906</v>
      </c>
      <c r="AI46" s="24">
        <f t="shared" ref="AI46:AK46" si="112">IF(AND(ISBLANK(AI44),ISBLANK(AI45)),"A",IFERROR(+MOD(AI45-AI44,1),AI43))</f>
        <v>0.45833333333333337</v>
      </c>
      <c r="AJ46" s="24" t="s">
        <v>5</v>
      </c>
      <c r="AK46" s="24">
        <f t="shared" si="112"/>
        <v>0.45833333333333337</v>
      </c>
      <c r="AL46" s="24">
        <f t="shared" ref="AL46" si="113">IF(AND(ISBLANK(AL44),ISBLANK(AL45)),"A",IFERROR(+MOD(AL45-AL44,1),AL43))</f>
        <v>0.41666666666666663</v>
      </c>
      <c r="AM46" s="24" t="s">
        <v>5</v>
      </c>
      <c r="AN46" s="17">
        <f>COUNT(F46:AM46)</f>
        <v>20</v>
      </c>
      <c r="AO46" s="21"/>
    </row>
    <row r="47" spans="1:41 16380:16380">
      <c r="A47" s="8" t="s">
        <v>127</v>
      </c>
      <c r="B47" s="12" t="s">
        <v>229</v>
      </c>
      <c r="C47" s="10" t="s">
        <v>51</v>
      </c>
      <c r="D47" s="10" t="s">
        <v>42</v>
      </c>
      <c r="E47" s="10" t="s">
        <v>145</v>
      </c>
      <c r="F47" s="11">
        <v>45870</v>
      </c>
      <c r="G47" s="12" t="s">
        <v>32</v>
      </c>
      <c r="H47" s="12" t="s">
        <v>18</v>
      </c>
      <c r="I47" s="13" t="s">
        <v>4</v>
      </c>
      <c r="J47" s="2" t="s">
        <v>6</v>
      </c>
      <c r="K47" s="2" t="s">
        <v>5</v>
      </c>
      <c r="L47" s="2" t="s">
        <v>6</v>
      </c>
      <c r="M47" s="2" t="s">
        <v>6</v>
      </c>
      <c r="N47" s="2" t="s">
        <v>6</v>
      </c>
      <c r="O47" s="2" t="s">
        <v>6</v>
      </c>
      <c r="P47" s="2" t="s">
        <v>6</v>
      </c>
      <c r="Q47" s="2" t="s">
        <v>5</v>
      </c>
      <c r="R47" s="2" t="s">
        <v>5</v>
      </c>
      <c r="S47" s="2" t="s">
        <v>6</v>
      </c>
      <c r="T47" s="2" t="s">
        <v>6</v>
      </c>
      <c r="U47" s="2" t="s">
        <v>6</v>
      </c>
      <c r="V47" s="2" t="s">
        <v>6</v>
      </c>
      <c r="W47" s="2" t="s">
        <v>6</v>
      </c>
      <c r="X47" s="2" t="s">
        <v>6</v>
      </c>
      <c r="Y47" s="2" t="s">
        <v>5</v>
      </c>
      <c r="Z47" s="2" t="s">
        <v>6</v>
      </c>
      <c r="AA47" s="2" t="s">
        <v>6</v>
      </c>
      <c r="AB47" s="2" t="s">
        <v>6</v>
      </c>
      <c r="AC47" s="2" t="s">
        <v>6</v>
      </c>
      <c r="AD47" s="2" t="s">
        <v>6</v>
      </c>
      <c r="AE47" s="2" t="s">
        <v>6</v>
      </c>
      <c r="AF47" s="2" t="s">
        <v>5</v>
      </c>
      <c r="AG47" s="2" t="s">
        <v>6</v>
      </c>
      <c r="AH47" s="2" t="s">
        <v>6</v>
      </c>
      <c r="AI47" s="2" t="s">
        <v>6</v>
      </c>
      <c r="AJ47" s="2" t="s">
        <v>6</v>
      </c>
      <c r="AK47" s="2" t="s">
        <v>5</v>
      </c>
      <c r="AL47" s="2" t="s">
        <v>5</v>
      </c>
      <c r="AM47" s="2" t="s">
        <v>5</v>
      </c>
      <c r="AN47" s="20"/>
      <c r="AO47" s="12" t="s">
        <v>18</v>
      </c>
    </row>
    <row r="48" spans="1:41 16380:16380">
      <c r="A48" s="1" t="s">
        <v>127</v>
      </c>
      <c r="B48" s="12" t="s">
        <v>229</v>
      </c>
      <c r="C48" s="1" t="s">
        <v>51</v>
      </c>
      <c r="D48" s="1" t="s">
        <v>42</v>
      </c>
      <c r="E48" s="1" t="s">
        <v>145</v>
      </c>
      <c r="F48" s="6">
        <v>45870</v>
      </c>
      <c r="G48" s="1" t="s">
        <v>32</v>
      </c>
      <c r="H48" s="12" t="s">
        <v>18</v>
      </c>
      <c r="I48" s="7" t="s">
        <v>7</v>
      </c>
      <c r="J48" s="2">
        <v>0.375</v>
      </c>
      <c r="K48" s="2" t="s">
        <v>5</v>
      </c>
      <c r="L48" s="2">
        <v>0.375</v>
      </c>
      <c r="M48" s="2">
        <v>0.375</v>
      </c>
      <c r="N48" s="2">
        <v>0.375</v>
      </c>
      <c r="O48" s="2">
        <v>0.375</v>
      </c>
      <c r="P48" s="2">
        <v>0.375</v>
      </c>
      <c r="Q48" s="2" t="s">
        <v>5</v>
      </c>
      <c r="R48" s="2" t="s">
        <v>5</v>
      </c>
      <c r="S48" s="2">
        <v>0.375</v>
      </c>
      <c r="T48" s="2">
        <v>0.38541666666666669</v>
      </c>
      <c r="U48" s="2">
        <v>0.3888888888888889</v>
      </c>
      <c r="V48" s="2">
        <v>0.38541666666666669</v>
      </c>
      <c r="W48" s="2">
        <v>0.375</v>
      </c>
      <c r="X48" s="2">
        <v>0.40972222222222227</v>
      </c>
      <c r="Y48" s="2" t="s">
        <v>5</v>
      </c>
      <c r="Z48" s="2">
        <v>0.45833333333333331</v>
      </c>
      <c r="AA48" s="2">
        <v>0.40972222222222227</v>
      </c>
      <c r="AB48" s="2">
        <v>0.3888888888888889</v>
      </c>
      <c r="AC48" s="2">
        <v>0.45833333333333331</v>
      </c>
      <c r="AD48" s="2">
        <v>0.38541666666666669</v>
      </c>
      <c r="AE48" s="2">
        <v>0.38194444444444442</v>
      </c>
      <c r="AF48" s="2" t="s">
        <v>5</v>
      </c>
      <c r="AG48" s="2">
        <v>0.3888888888888889</v>
      </c>
      <c r="AH48" s="2">
        <v>0.375</v>
      </c>
      <c r="AI48" s="2">
        <v>0.375</v>
      </c>
      <c r="AJ48" s="2">
        <v>0.38194444444444442</v>
      </c>
      <c r="AK48" s="2" t="s">
        <v>5</v>
      </c>
      <c r="AL48" s="2" t="s">
        <v>5</v>
      </c>
      <c r="AM48" s="2" t="s">
        <v>5</v>
      </c>
      <c r="AN48" s="20"/>
      <c r="AO48" s="12"/>
    </row>
    <row r="49" spans="1:41">
      <c r="A49" s="1" t="s">
        <v>127</v>
      </c>
      <c r="B49" s="12" t="s">
        <v>229</v>
      </c>
      <c r="C49" s="1" t="s">
        <v>51</v>
      </c>
      <c r="D49" s="1" t="s">
        <v>42</v>
      </c>
      <c r="E49" s="1" t="s">
        <v>145</v>
      </c>
      <c r="F49" s="6">
        <v>45870</v>
      </c>
      <c r="G49" s="1" t="s">
        <v>32</v>
      </c>
      <c r="H49" s="12" t="s">
        <v>18</v>
      </c>
      <c r="I49" s="7" t="s">
        <v>8</v>
      </c>
      <c r="J49" s="2">
        <v>0.75</v>
      </c>
      <c r="K49" s="2" t="s">
        <v>5</v>
      </c>
      <c r="L49" s="2">
        <v>0.79166666666666663</v>
      </c>
      <c r="M49" s="2">
        <v>0.8125</v>
      </c>
      <c r="N49" s="2">
        <v>0.875</v>
      </c>
      <c r="O49" s="2">
        <v>0.875</v>
      </c>
      <c r="P49" s="2">
        <v>0.84722222222222221</v>
      </c>
      <c r="Q49" s="2" t="s">
        <v>5</v>
      </c>
      <c r="R49" s="2" t="s">
        <v>5</v>
      </c>
      <c r="S49" s="2">
        <v>0.875</v>
      </c>
      <c r="T49" s="2">
        <v>0.84722222222222221</v>
      </c>
      <c r="U49" s="2">
        <v>0.875</v>
      </c>
      <c r="V49" s="2">
        <v>0.83333333333333337</v>
      </c>
      <c r="W49" s="2">
        <v>0.875</v>
      </c>
      <c r="X49" s="2">
        <v>0.875</v>
      </c>
      <c r="Y49" s="2" t="s">
        <v>5</v>
      </c>
      <c r="Z49" s="2">
        <v>0.875</v>
      </c>
      <c r="AA49" s="2">
        <v>0.875</v>
      </c>
      <c r="AB49" s="2">
        <v>0.875</v>
      </c>
      <c r="AC49" s="2">
        <v>0.875</v>
      </c>
      <c r="AD49" s="2">
        <v>0.89583333333333337</v>
      </c>
      <c r="AE49" s="2">
        <v>0.88888888888888884</v>
      </c>
      <c r="AF49" s="2" t="s">
        <v>5</v>
      </c>
      <c r="AG49" s="2">
        <v>0.91666666666666663</v>
      </c>
      <c r="AH49" s="2">
        <v>0.79166666666666663</v>
      </c>
      <c r="AI49" s="2">
        <v>0.96597222222222223</v>
      </c>
      <c r="AJ49" s="2">
        <v>0.89583333333333337</v>
      </c>
      <c r="AK49" s="2" t="s">
        <v>5</v>
      </c>
      <c r="AL49" s="2" t="s">
        <v>5</v>
      </c>
      <c r="AM49" s="2" t="s">
        <v>5</v>
      </c>
      <c r="AN49" s="20"/>
      <c r="AO49" s="12"/>
    </row>
    <row r="50" spans="1:41">
      <c r="A50" s="21" t="s">
        <v>127</v>
      </c>
      <c r="B50" s="21" t="s">
        <v>229</v>
      </c>
      <c r="C50" s="21" t="s">
        <v>51</v>
      </c>
      <c r="D50" s="21" t="s">
        <v>42</v>
      </c>
      <c r="E50" s="21" t="s">
        <v>145</v>
      </c>
      <c r="F50" s="22">
        <v>45870</v>
      </c>
      <c r="G50" s="21" t="s">
        <v>32</v>
      </c>
      <c r="H50" s="21" t="s">
        <v>18</v>
      </c>
      <c r="I50" s="23" t="s">
        <v>9</v>
      </c>
      <c r="J50" s="24">
        <f>IF(AND(ISBLANK(J48),ISBLANK(J49)),"A",IFERROR(+MOD(J49-J48,1),J47))</f>
        <v>0.375</v>
      </c>
      <c r="K50" s="24" t="s">
        <v>5</v>
      </c>
      <c r="L50" s="24">
        <f t="shared" ref="L50" si="114">IF(AND(ISBLANK(L48),ISBLANK(L49)),"A",IFERROR(+MOD(L49-L48,1),L47))</f>
        <v>0.41666666666666663</v>
      </c>
      <c r="M50" s="24">
        <f t="shared" ref="M50" si="115">IF(AND(ISBLANK(M48),ISBLANK(M49)),"A",IFERROR(+MOD(M49-M48,1),M47))</f>
        <v>0.4375</v>
      </c>
      <c r="N50" s="24">
        <f t="shared" ref="N50" si="116">IF(AND(ISBLANK(N48),ISBLANK(N49)),"A",IFERROR(+MOD(N49-N48,1),N47))</f>
        <v>0.5</v>
      </c>
      <c r="O50" s="24">
        <f t="shared" ref="O50" si="117">IF(AND(ISBLANK(O48),ISBLANK(O49)),"A",IFERROR(+MOD(O49-O48,1),O47))</f>
        <v>0.5</v>
      </c>
      <c r="P50" s="24">
        <f t="shared" ref="P50" si="118">IF(AND(ISBLANK(P48),ISBLANK(P49)),"A",IFERROR(+MOD(P49-P48,1),P47))</f>
        <v>0.47222222222222221</v>
      </c>
      <c r="Q50" s="24" t="s">
        <v>5</v>
      </c>
      <c r="R50" s="24" t="s">
        <v>5</v>
      </c>
      <c r="S50" s="24">
        <f t="shared" ref="S50" si="119">IF(AND(ISBLANK(S48),ISBLANK(S49)),"A",IFERROR(+MOD(S49-S48,1),S47))</f>
        <v>0.5</v>
      </c>
      <c r="T50" s="24">
        <f t="shared" ref="T50" si="120">IF(AND(ISBLANK(T48),ISBLANK(T49)),"A",IFERROR(+MOD(T49-T48,1),T47))</f>
        <v>0.46180555555555552</v>
      </c>
      <c r="U50" s="24">
        <f t="shared" ref="U50" si="121">IF(AND(ISBLANK(U48),ISBLANK(U49)),"A",IFERROR(+MOD(U49-U48,1),U47))</f>
        <v>0.4861111111111111</v>
      </c>
      <c r="V50" s="24">
        <f t="shared" ref="V50" si="122">IF(AND(ISBLANK(V48),ISBLANK(V49)),"A",IFERROR(+MOD(V49-V48,1),V47))</f>
        <v>0.44791666666666669</v>
      </c>
      <c r="W50" s="24">
        <f t="shared" ref="W50" si="123">IF(AND(ISBLANK(W48),ISBLANK(W49)),"A",IFERROR(+MOD(W49-W48,1),W47))</f>
        <v>0.5</v>
      </c>
      <c r="X50" s="24">
        <f t="shared" ref="X50" si="124">IF(AND(ISBLANK(X48),ISBLANK(X49)),"A",IFERROR(+MOD(X49-X48,1),X47))</f>
        <v>0.46527777777777773</v>
      </c>
      <c r="Y50" s="24" t="s">
        <v>5</v>
      </c>
      <c r="Z50" s="24">
        <f t="shared" ref="Z50:AA50" si="125">IF(AND(ISBLANK(Z48),ISBLANK(Z49)),"A",IFERROR(+MOD(Z49-Z48,1),Z47))</f>
        <v>0.41666666666666669</v>
      </c>
      <c r="AA50" s="24">
        <f t="shared" si="125"/>
        <v>0.46527777777777773</v>
      </c>
      <c r="AB50" s="24">
        <f t="shared" ref="AB50:AC50" si="126">IF(AND(ISBLANK(AB48),ISBLANK(AB49)),"A",IFERROR(+MOD(AB49-AB48,1),AB47))</f>
        <v>0.4861111111111111</v>
      </c>
      <c r="AC50" s="24">
        <f t="shared" si="126"/>
        <v>0.41666666666666669</v>
      </c>
      <c r="AD50" s="24">
        <f t="shared" ref="AD50" si="127">IF(AND(ISBLANK(AD48),ISBLANK(AD49)),"A",IFERROR(+MOD(AD49-AD48,1),AD47))</f>
        <v>0.51041666666666674</v>
      </c>
      <c r="AE50" s="24">
        <f t="shared" ref="AE50" si="128">IF(AND(ISBLANK(AE48),ISBLANK(AE49)),"A",IFERROR(+MOD(AE49-AE48,1),AE47))</f>
        <v>0.50694444444444442</v>
      </c>
      <c r="AF50" s="24" t="s">
        <v>5</v>
      </c>
      <c r="AG50" s="24">
        <f t="shared" ref="AG50" si="129">IF(AND(ISBLANK(AG48),ISBLANK(AG49)),"A",IFERROR(+MOD(AG49-AG48,1),AG47))</f>
        <v>0.52777777777777768</v>
      </c>
      <c r="AH50" s="24">
        <f t="shared" ref="AH50" si="130">IF(AND(ISBLANK(AH48),ISBLANK(AH49)),"A",IFERROR(+MOD(AH49-AH48,1),AH47))</f>
        <v>0.41666666666666663</v>
      </c>
      <c r="AI50" s="24">
        <f t="shared" ref="AI50" si="131">IF(AND(ISBLANK(AI48),ISBLANK(AI49)),"A",IFERROR(+MOD(AI49-AI48,1),AI47))</f>
        <v>0.59097222222222223</v>
      </c>
      <c r="AJ50" s="24">
        <f t="shared" ref="AJ50" si="132">IF(AND(ISBLANK(AJ48),ISBLANK(AJ49)),"A",IFERROR(+MOD(AJ49-AJ48,1),AJ47))</f>
        <v>0.51388888888888895</v>
      </c>
      <c r="AK50" s="24" t="s">
        <v>5</v>
      </c>
      <c r="AL50" s="24" t="s">
        <v>5</v>
      </c>
      <c r="AM50" s="24" t="s">
        <v>5</v>
      </c>
      <c r="AN50" s="17">
        <f>COUNT(F50:AM50)</f>
        <v>23</v>
      </c>
      <c r="AO50" s="21"/>
    </row>
    <row r="51" spans="1:41">
      <c r="A51" s="8" t="s">
        <v>138</v>
      </c>
      <c r="B51" s="12" t="s">
        <v>228</v>
      </c>
      <c r="C51" s="10" t="s">
        <v>76</v>
      </c>
      <c r="D51" s="10" t="s">
        <v>10</v>
      </c>
      <c r="E51" s="10" t="s">
        <v>77</v>
      </c>
      <c r="F51" s="11">
        <v>45872</v>
      </c>
      <c r="G51" s="12" t="s">
        <v>32</v>
      </c>
      <c r="H51" s="12" t="s">
        <v>18</v>
      </c>
      <c r="I51" s="13" t="s">
        <v>4</v>
      </c>
      <c r="J51" s="2" t="s">
        <v>6</v>
      </c>
      <c r="K51" s="2" t="s">
        <v>5</v>
      </c>
      <c r="L51" s="2" t="s">
        <v>6</v>
      </c>
      <c r="M51" s="2" t="s">
        <v>6</v>
      </c>
      <c r="N51" s="2" t="s">
        <v>6</v>
      </c>
      <c r="O51" s="2" t="s">
        <v>6</v>
      </c>
      <c r="P51" s="2" t="s">
        <v>6</v>
      </c>
      <c r="Q51" s="2" t="s">
        <v>6</v>
      </c>
      <c r="R51" s="2" t="s">
        <v>5</v>
      </c>
      <c r="S51" s="2" t="s">
        <v>6</v>
      </c>
      <c r="T51" s="2" t="s">
        <v>6</v>
      </c>
      <c r="U51" s="2" t="s">
        <v>6</v>
      </c>
      <c r="V51" s="2" t="s">
        <v>6</v>
      </c>
      <c r="W51" s="2" t="s">
        <v>6</v>
      </c>
      <c r="X51" s="2" t="s">
        <v>6</v>
      </c>
      <c r="Y51" s="2" t="s">
        <v>5</v>
      </c>
      <c r="Z51" s="2" t="s">
        <v>6</v>
      </c>
      <c r="AA51" s="2" t="s">
        <v>6</v>
      </c>
      <c r="AB51" s="2" t="s">
        <v>6</v>
      </c>
      <c r="AC51" s="2" t="s">
        <v>6</v>
      </c>
      <c r="AD51" s="2" t="s">
        <v>6</v>
      </c>
      <c r="AE51" s="2" t="s">
        <v>6</v>
      </c>
      <c r="AF51" s="2" t="s">
        <v>5</v>
      </c>
      <c r="AG51" s="2" t="s">
        <v>6</v>
      </c>
      <c r="AH51" s="2" t="s">
        <v>6</v>
      </c>
      <c r="AI51" s="2" t="s">
        <v>6</v>
      </c>
      <c r="AJ51" s="2" t="s">
        <v>6</v>
      </c>
      <c r="AK51" s="2" t="s">
        <v>6</v>
      </c>
      <c r="AL51" s="2" t="s">
        <v>6</v>
      </c>
      <c r="AM51" s="2" t="s">
        <v>5</v>
      </c>
      <c r="AN51" s="20"/>
      <c r="AO51" s="12" t="s">
        <v>18</v>
      </c>
    </row>
    <row r="52" spans="1:41">
      <c r="A52" s="1" t="s">
        <v>138</v>
      </c>
      <c r="B52" s="12" t="s">
        <v>228</v>
      </c>
      <c r="C52" s="1" t="s">
        <v>76</v>
      </c>
      <c r="D52" s="1" t="s">
        <v>10</v>
      </c>
      <c r="E52" s="1" t="s">
        <v>77</v>
      </c>
      <c r="F52" s="6">
        <v>45872</v>
      </c>
      <c r="G52" s="1" t="s">
        <v>32</v>
      </c>
      <c r="H52" s="12" t="s">
        <v>18</v>
      </c>
      <c r="I52" s="7" t="s">
        <v>7</v>
      </c>
      <c r="J52" s="2">
        <v>0.375</v>
      </c>
      <c r="K52" s="2" t="s">
        <v>5</v>
      </c>
      <c r="L52" s="2">
        <v>0.375</v>
      </c>
      <c r="M52" s="2">
        <v>0.375</v>
      </c>
      <c r="N52" s="2">
        <v>0.375</v>
      </c>
      <c r="O52" s="2">
        <v>0.375</v>
      </c>
      <c r="P52" s="2">
        <v>0.375</v>
      </c>
      <c r="Q52" s="2">
        <v>0.375</v>
      </c>
      <c r="R52" s="2" t="s">
        <v>5</v>
      </c>
      <c r="S52" s="2">
        <v>0.375</v>
      </c>
      <c r="T52" s="2">
        <v>0.375</v>
      </c>
      <c r="U52" s="2">
        <v>0.38541666666666669</v>
      </c>
      <c r="V52" s="2">
        <v>0.375</v>
      </c>
      <c r="W52" s="2">
        <v>0.375</v>
      </c>
      <c r="X52" s="2">
        <v>0.375</v>
      </c>
      <c r="Y52" s="2" t="s">
        <v>5</v>
      </c>
      <c r="Z52" s="2">
        <v>0.375</v>
      </c>
      <c r="AA52" s="2">
        <v>0.375</v>
      </c>
      <c r="AB52" s="2">
        <v>0.375</v>
      </c>
      <c r="AC52" s="2">
        <v>0.3888888888888889</v>
      </c>
      <c r="AD52" s="2">
        <v>0.375</v>
      </c>
      <c r="AE52" s="2">
        <v>0.375</v>
      </c>
      <c r="AF52" s="2" t="s">
        <v>5</v>
      </c>
      <c r="AG52" s="2">
        <v>0.3888888888888889</v>
      </c>
      <c r="AH52" s="2">
        <v>0.38194444444444442</v>
      </c>
      <c r="AI52" s="2">
        <v>0.375</v>
      </c>
      <c r="AJ52" s="2">
        <v>0.375</v>
      </c>
      <c r="AK52" s="2">
        <v>0.375</v>
      </c>
      <c r="AL52" s="2">
        <v>0.375</v>
      </c>
      <c r="AM52" s="2" t="s">
        <v>5</v>
      </c>
      <c r="AN52" s="20"/>
      <c r="AO52" s="12"/>
    </row>
    <row r="53" spans="1:41">
      <c r="A53" s="1" t="s">
        <v>138</v>
      </c>
      <c r="B53" s="12" t="s">
        <v>228</v>
      </c>
      <c r="C53" s="1" t="s">
        <v>76</v>
      </c>
      <c r="D53" s="1" t="s">
        <v>10</v>
      </c>
      <c r="E53" s="1" t="s">
        <v>77</v>
      </c>
      <c r="F53" s="6">
        <v>45872</v>
      </c>
      <c r="G53" s="1" t="s">
        <v>32</v>
      </c>
      <c r="H53" s="12" t="s">
        <v>18</v>
      </c>
      <c r="I53" s="7" t="s">
        <v>8</v>
      </c>
      <c r="J53" s="2">
        <v>0.75</v>
      </c>
      <c r="K53" s="2" t="s">
        <v>5</v>
      </c>
      <c r="L53" s="2">
        <v>0.75</v>
      </c>
      <c r="M53" s="2">
        <v>0.75</v>
      </c>
      <c r="N53" s="2">
        <v>0.75</v>
      </c>
      <c r="O53" s="2">
        <v>0.75</v>
      </c>
      <c r="P53" s="2">
        <v>0.75</v>
      </c>
      <c r="Q53" s="2">
        <v>0.75</v>
      </c>
      <c r="R53" s="2" t="s">
        <v>5</v>
      </c>
      <c r="S53" s="2">
        <v>0.75</v>
      </c>
      <c r="T53" s="2">
        <v>0.75</v>
      </c>
      <c r="U53" s="2">
        <v>0.75</v>
      </c>
      <c r="V53" s="2">
        <v>0.75</v>
      </c>
      <c r="W53" s="2">
        <v>0.75</v>
      </c>
      <c r="X53" s="2">
        <v>0.75</v>
      </c>
      <c r="Y53" s="2" t="s">
        <v>5</v>
      </c>
      <c r="Z53" s="2">
        <v>0.75</v>
      </c>
      <c r="AA53" s="2">
        <v>0.75</v>
      </c>
      <c r="AB53" s="2">
        <v>0.75347222222222221</v>
      </c>
      <c r="AC53" s="2">
        <v>0.75</v>
      </c>
      <c r="AD53" s="2">
        <v>0.75</v>
      </c>
      <c r="AE53" s="2">
        <v>0.75</v>
      </c>
      <c r="AF53" s="2" t="s">
        <v>5</v>
      </c>
      <c r="AG53" s="2">
        <v>0.75</v>
      </c>
      <c r="AH53" s="2">
        <v>0.75</v>
      </c>
      <c r="AI53" s="2">
        <v>0.75</v>
      </c>
      <c r="AJ53" s="2">
        <v>0.75</v>
      </c>
      <c r="AK53" s="2">
        <v>0.75</v>
      </c>
      <c r="AL53" s="2">
        <v>0.75</v>
      </c>
      <c r="AM53" s="2" t="s">
        <v>5</v>
      </c>
      <c r="AN53" s="20"/>
      <c r="AO53" s="12"/>
    </row>
    <row r="54" spans="1:41">
      <c r="A54" s="21" t="s">
        <v>138</v>
      </c>
      <c r="B54" s="21" t="s">
        <v>228</v>
      </c>
      <c r="C54" s="21" t="s">
        <v>76</v>
      </c>
      <c r="D54" s="21" t="s">
        <v>10</v>
      </c>
      <c r="E54" s="21" t="s">
        <v>77</v>
      </c>
      <c r="F54" s="22">
        <v>45872</v>
      </c>
      <c r="G54" s="21" t="s">
        <v>32</v>
      </c>
      <c r="H54" s="21" t="s">
        <v>18</v>
      </c>
      <c r="I54" s="23" t="s">
        <v>9</v>
      </c>
      <c r="J54" s="24">
        <f>IF(AND(ISBLANK(J52),ISBLANK(J53)),"A",IFERROR(+MOD(J53-J52,1),J51))</f>
        <v>0.375</v>
      </c>
      <c r="K54" s="24" t="s">
        <v>5</v>
      </c>
      <c r="L54" s="24">
        <f t="shared" ref="L54" si="133">IF(AND(ISBLANK(L52),ISBLANK(L53)),"A",IFERROR(+MOD(L53-L52,1),L51))</f>
        <v>0.375</v>
      </c>
      <c r="M54" s="24">
        <f t="shared" ref="M54" si="134">IF(AND(ISBLANK(M52),ISBLANK(M53)),"A",IFERROR(+MOD(M53-M52,1),M51))</f>
        <v>0.375</v>
      </c>
      <c r="N54" s="24">
        <f t="shared" ref="N54" si="135">IF(AND(ISBLANK(N52),ISBLANK(N53)),"A",IFERROR(+MOD(N53-N52,1),N51))</f>
        <v>0.375</v>
      </c>
      <c r="O54" s="24">
        <f t="shared" ref="O54" si="136">IF(AND(ISBLANK(O52),ISBLANK(O53)),"A",IFERROR(+MOD(O53-O52,1),O51))</f>
        <v>0.375</v>
      </c>
      <c r="P54" s="24">
        <f t="shared" ref="P54" si="137">IF(AND(ISBLANK(P52),ISBLANK(P53)),"A",IFERROR(+MOD(P53-P52,1),P51))</f>
        <v>0.375</v>
      </c>
      <c r="Q54" s="24">
        <f t="shared" ref="Q54" si="138">IF(AND(ISBLANK(Q52),ISBLANK(Q53)),"A",IFERROR(+MOD(Q53-Q52,1),Q51))</f>
        <v>0.375</v>
      </c>
      <c r="R54" s="24" t="s">
        <v>5</v>
      </c>
      <c r="S54" s="24">
        <f t="shared" ref="S54" si="139">IF(AND(ISBLANK(S52),ISBLANK(S53)),"A",IFERROR(+MOD(S53-S52,1),S51))</f>
        <v>0.375</v>
      </c>
      <c r="T54" s="24">
        <f t="shared" ref="T54" si="140">IF(AND(ISBLANK(T52),ISBLANK(T53)),"A",IFERROR(+MOD(T53-T52,1),T51))</f>
        <v>0.375</v>
      </c>
      <c r="U54" s="24">
        <f t="shared" ref="U54" si="141">IF(AND(ISBLANK(U52),ISBLANK(U53)),"A",IFERROR(+MOD(U53-U52,1),U51))</f>
        <v>0.36458333333333331</v>
      </c>
      <c r="V54" s="24">
        <f t="shared" ref="V54" si="142">IF(AND(ISBLANK(V52),ISBLANK(V53)),"A",IFERROR(+MOD(V53-V52,1),V51))</f>
        <v>0.375</v>
      </c>
      <c r="W54" s="24">
        <f t="shared" ref="W54" si="143">IF(AND(ISBLANK(W52),ISBLANK(W53)),"A",IFERROR(+MOD(W53-W52,1),W51))</f>
        <v>0.375</v>
      </c>
      <c r="X54" s="24">
        <f t="shared" ref="X54" si="144">IF(AND(ISBLANK(X52),ISBLANK(X53)),"A",IFERROR(+MOD(X53-X52,1),X51))</f>
        <v>0.375</v>
      </c>
      <c r="Y54" s="24" t="s">
        <v>5</v>
      </c>
      <c r="Z54" s="24">
        <f t="shared" ref="Z54" si="145">IF(AND(ISBLANK(Z52),ISBLANK(Z53)),"A",IFERROR(+MOD(Z53-Z52,1),Z51))</f>
        <v>0.375</v>
      </c>
      <c r="AA54" s="24">
        <f t="shared" ref="AA54" si="146">IF(AND(ISBLANK(AA52),ISBLANK(AA53)),"A",IFERROR(+MOD(AA53-AA52,1),AA51))</f>
        <v>0.375</v>
      </c>
      <c r="AB54" s="24">
        <f t="shared" ref="AB54" si="147">IF(AND(ISBLANK(AB52),ISBLANK(AB53)),"A",IFERROR(+MOD(AB53-AB52,1),AB51))</f>
        <v>0.37847222222222221</v>
      </c>
      <c r="AC54" s="24">
        <f t="shared" ref="AC54" si="148">IF(AND(ISBLANK(AC52),ISBLANK(AC53)),"A",IFERROR(+MOD(AC53-AC52,1),AC51))</f>
        <v>0.3611111111111111</v>
      </c>
      <c r="AD54" s="24">
        <f t="shared" ref="AD54" si="149">IF(AND(ISBLANK(AD52),ISBLANK(AD53)),"A",IFERROR(+MOD(AD53-AD52,1),AD51))</f>
        <v>0.375</v>
      </c>
      <c r="AE54" s="24">
        <f t="shared" ref="AE54" si="150">IF(AND(ISBLANK(AE52),ISBLANK(AE53)),"A",IFERROR(+MOD(AE53-AE52,1),AE51))</f>
        <v>0.375</v>
      </c>
      <c r="AF54" s="24" t="s">
        <v>5</v>
      </c>
      <c r="AG54" s="24">
        <f t="shared" ref="AG54" si="151">IF(AND(ISBLANK(AG52),ISBLANK(AG53)),"A",IFERROR(+MOD(AG53-AG52,1),AG51))</f>
        <v>0.3611111111111111</v>
      </c>
      <c r="AH54" s="24">
        <f t="shared" ref="AH54" si="152">IF(AND(ISBLANK(AH52),ISBLANK(AH53)),"A",IFERROR(+MOD(AH53-AH52,1),AH51))</f>
        <v>0.36805555555555558</v>
      </c>
      <c r="AI54" s="24">
        <f t="shared" ref="AI54" si="153">IF(AND(ISBLANK(AI52),ISBLANK(AI53)),"A",IFERROR(+MOD(AI53-AI52,1),AI51))</f>
        <v>0.375</v>
      </c>
      <c r="AJ54" s="24">
        <f t="shared" ref="AJ54" si="154">IF(AND(ISBLANK(AJ52),ISBLANK(AJ53)),"A",IFERROR(+MOD(AJ53-AJ52,1),AJ51))</f>
        <v>0.375</v>
      </c>
      <c r="AK54" s="24">
        <f t="shared" ref="AK54" si="155">IF(AND(ISBLANK(AK52),ISBLANK(AK53)),"A",IFERROR(+MOD(AK53-AK52,1),AK51))</f>
        <v>0.375</v>
      </c>
      <c r="AL54" s="24">
        <f t="shared" ref="AL54" si="156">IF(AND(ISBLANK(AL52),ISBLANK(AL53)),"A",IFERROR(+MOD(AL53-AL52,1),AL51))</f>
        <v>0.375</v>
      </c>
      <c r="AM54" s="24" t="s">
        <v>5</v>
      </c>
      <c r="AN54" s="17">
        <f>COUNT(F54:AM54)</f>
        <v>26</v>
      </c>
      <c r="AO54" s="21"/>
    </row>
    <row r="55" spans="1:41">
      <c r="A55" s="8" t="s">
        <v>140</v>
      </c>
      <c r="B55" s="12" t="s">
        <v>230</v>
      </c>
      <c r="C55" s="10" t="s">
        <v>28</v>
      </c>
      <c r="D55" s="10" t="s">
        <v>157</v>
      </c>
      <c r="E55" s="10" t="s">
        <v>85</v>
      </c>
      <c r="F55" s="11">
        <v>45874</v>
      </c>
      <c r="G55" s="12" t="s">
        <v>32</v>
      </c>
      <c r="H55" s="12" t="s">
        <v>18</v>
      </c>
      <c r="I55" s="13" t="s">
        <v>4</v>
      </c>
      <c r="J55" s="2" t="s">
        <v>6</v>
      </c>
      <c r="K55" s="2" t="s">
        <v>5</v>
      </c>
      <c r="L55" s="2" t="s">
        <v>6</v>
      </c>
      <c r="M55" s="2" t="s">
        <v>6</v>
      </c>
      <c r="N55" s="2" t="s">
        <v>6</v>
      </c>
      <c r="O55" s="2" t="s">
        <v>6</v>
      </c>
      <c r="P55" s="2" t="s">
        <v>5</v>
      </c>
      <c r="Q55" s="2" t="s">
        <v>6</v>
      </c>
      <c r="R55" s="2" t="s">
        <v>5</v>
      </c>
      <c r="S55" s="2" t="s">
        <v>6</v>
      </c>
      <c r="T55" s="2" t="s">
        <v>6</v>
      </c>
      <c r="U55" s="2" t="s">
        <v>6</v>
      </c>
      <c r="V55" s="2" t="s">
        <v>6</v>
      </c>
      <c r="W55" s="2" t="s">
        <v>6</v>
      </c>
      <c r="X55" s="2" t="s">
        <v>6</v>
      </c>
      <c r="Y55" s="2" t="s">
        <v>5</v>
      </c>
      <c r="Z55" s="2" t="s">
        <v>6</v>
      </c>
      <c r="AA55" s="2" t="s">
        <v>6</v>
      </c>
      <c r="AB55" s="2" t="s">
        <v>6</v>
      </c>
      <c r="AC55" s="2" t="s">
        <v>6</v>
      </c>
      <c r="AD55" s="2" t="s">
        <v>6</v>
      </c>
      <c r="AE55" s="2" t="s">
        <v>5</v>
      </c>
      <c r="AF55" s="2" t="s">
        <v>5</v>
      </c>
      <c r="AG55" s="2" t="s">
        <v>6</v>
      </c>
      <c r="AH55" s="2" t="s">
        <v>6</v>
      </c>
      <c r="AI55" s="2" t="s">
        <v>6</v>
      </c>
      <c r="AJ55" s="2" t="s">
        <v>6</v>
      </c>
      <c r="AK55" s="2" t="s">
        <v>6</v>
      </c>
      <c r="AL55" s="2" t="s">
        <v>6</v>
      </c>
      <c r="AM55" s="2" t="s">
        <v>5</v>
      </c>
      <c r="AN55" s="20"/>
      <c r="AO55" s="12" t="s">
        <v>18</v>
      </c>
    </row>
    <row r="56" spans="1:41">
      <c r="A56" s="1" t="s">
        <v>140</v>
      </c>
      <c r="B56" s="12" t="s">
        <v>230</v>
      </c>
      <c r="C56" s="1" t="s">
        <v>28</v>
      </c>
      <c r="D56" s="1" t="s">
        <v>157</v>
      </c>
      <c r="E56" s="1" t="s">
        <v>85</v>
      </c>
      <c r="F56" s="6">
        <v>45874</v>
      </c>
      <c r="G56" s="1" t="s">
        <v>32</v>
      </c>
      <c r="H56" s="12" t="s">
        <v>18</v>
      </c>
      <c r="I56" s="7" t="s">
        <v>7</v>
      </c>
      <c r="J56" s="2">
        <v>0.375</v>
      </c>
      <c r="K56" s="2" t="s">
        <v>5</v>
      </c>
      <c r="L56" s="2">
        <v>0.375</v>
      </c>
      <c r="M56" s="2">
        <v>0.375</v>
      </c>
      <c r="N56" s="2">
        <v>0.375</v>
      </c>
      <c r="O56" s="2">
        <v>0.375</v>
      </c>
      <c r="P56" s="2" t="s">
        <v>5</v>
      </c>
      <c r="Q56" s="2">
        <v>0.375</v>
      </c>
      <c r="R56" s="2" t="s">
        <v>5</v>
      </c>
      <c r="S56" s="2">
        <v>0.375</v>
      </c>
      <c r="T56" s="2">
        <v>0.375</v>
      </c>
      <c r="U56" s="2">
        <v>0.375</v>
      </c>
      <c r="V56" s="2">
        <v>0.375</v>
      </c>
      <c r="W56" s="2">
        <v>0.375</v>
      </c>
      <c r="X56" s="2">
        <v>0.375</v>
      </c>
      <c r="Y56" s="2" t="s">
        <v>5</v>
      </c>
      <c r="Z56" s="2">
        <v>0.375</v>
      </c>
      <c r="AA56" s="2">
        <v>0.375</v>
      </c>
      <c r="AB56" s="2">
        <v>0.375</v>
      </c>
      <c r="AC56" s="2">
        <v>0.375</v>
      </c>
      <c r="AD56" s="2">
        <v>0.375</v>
      </c>
      <c r="AE56" s="2" t="s">
        <v>5</v>
      </c>
      <c r="AF56" s="2" t="s">
        <v>5</v>
      </c>
      <c r="AG56" s="2">
        <v>0.3888888888888889</v>
      </c>
      <c r="AH56" s="2">
        <v>0.38194444444444442</v>
      </c>
      <c r="AI56" s="2">
        <v>0.375</v>
      </c>
      <c r="AJ56" s="2">
        <v>0.375</v>
      </c>
      <c r="AK56" s="2">
        <v>0.375</v>
      </c>
      <c r="AL56" s="2">
        <v>0.375</v>
      </c>
      <c r="AM56" s="2" t="s">
        <v>5</v>
      </c>
      <c r="AN56" s="20"/>
      <c r="AO56" s="12"/>
    </row>
    <row r="57" spans="1:41">
      <c r="A57" s="1" t="s">
        <v>140</v>
      </c>
      <c r="B57" s="12" t="s">
        <v>230</v>
      </c>
      <c r="C57" s="1" t="s">
        <v>28</v>
      </c>
      <c r="D57" s="1" t="s">
        <v>157</v>
      </c>
      <c r="E57" s="1" t="s">
        <v>85</v>
      </c>
      <c r="F57" s="6">
        <v>45874</v>
      </c>
      <c r="G57" s="1" t="s">
        <v>32</v>
      </c>
      <c r="H57" s="12" t="s">
        <v>18</v>
      </c>
      <c r="I57" s="7" t="s">
        <v>8</v>
      </c>
      <c r="J57" s="2">
        <v>0.85555555555555562</v>
      </c>
      <c r="K57" s="2" t="s">
        <v>5</v>
      </c>
      <c r="L57" s="2">
        <v>0.84722222222222221</v>
      </c>
      <c r="M57" s="2">
        <v>0.83333333333333337</v>
      </c>
      <c r="N57" s="2">
        <v>0.83333333333333337</v>
      </c>
      <c r="O57" s="2">
        <v>0.75</v>
      </c>
      <c r="P57" s="2" t="s">
        <v>5</v>
      </c>
      <c r="Q57" s="2">
        <v>0.88263888888888886</v>
      </c>
      <c r="R57" s="2" t="s">
        <v>5</v>
      </c>
      <c r="S57" s="2">
        <v>0.83333333333333337</v>
      </c>
      <c r="T57" s="2">
        <v>0.84722222222222221</v>
      </c>
      <c r="U57" s="2">
        <v>0.88541666666666663</v>
      </c>
      <c r="V57" s="2">
        <v>0.83333333333333337</v>
      </c>
      <c r="W57" s="2">
        <v>0.83333333333333337</v>
      </c>
      <c r="X57" s="2">
        <v>0.83333333333333337</v>
      </c>
      <c r="Y57" s="2" t="s">
        <v>5</v>
      </c>
      <c r="Z57" s="2">
        <v>0.85416666666666663</v>
      </c>
      <c r="AA57" s="2">
        <v>0.84722222222222221</v>
      </c>
      <c r="AB57" s="2">
        <v>0.84027777777777779</v>
      </c>
      <c r="AC57" s="2">
        <v>0.83333333333333337</v>
      </c>
      <c r="AD57" s="2">
        <v>0.84027777777777779</v>
      </c>
      <c r="AE57" s="2" t="s">
        <v>5</v>
      </c>
      <c r="AF57" s="2" t="s">
        <v>5</v>
      </c>
      <c r="AG57" s="2">
        <v>0.83333333333333337</v>
      </c>
      <c r="AH57" s="2">
        <v>0.83333333333333337</v>
      </c>
      <c r="AI57" s="2">
        <v>0.83333333333333337</v>
      </c>
      <c r="AJ57" s="2">
        <v>0.83333333333333337</v>
      </c>
      <c r="AK57" s="2">
        <v>0.83333333333333337</v>
      </c>
      <c r="AL57" s="2">
        <v>0.75</v>
      </c>
      <c r="AM57" s="2" t="s">
        <v>5</v>
      </c>
      <c r="AN57" s="20"/>
      <c r="AO57" s="12"/>
    </row>
    <row r="58" spans="1:41">
      <c r="A58" s="21" t="s">
        <v>140</v>
      </c>
      <c r="B58" s="21" t="s">
        <v>230</v>
      </c>
      <c r="C58" s="21" t="s">
        <v>28</v>
      </c>
      <c r="D58" s="21" t="s">
        <v>157</v>
      </c>
      <c r="E58" s="21" t="s">
        <v>85</v>
      </c>
      <c r="F58" s="22">
        <v>45874</v>
      </c>
      <c r="G58" s="21" t="s">
        <v>32</v>
      </c>
      <c r="H58" s="21" t="s">
        <v>18</v>
      </c>
      <c r="I58" s="23" t="s">
        <v>9</v>
      </c>
      <c r="J58" s="24">
        <f>IF(AND(ISBLANK(J56),ISBLANK(J57)),"A",IFERROR(+MOD(J57-J56,1),J55))</f>
        <v>0.48055555555555562</v>
      </c>
      <c r="K58" s="24" t="s">
        <v>5</v>
      </c>
      <c r="L58" s="24">
        <f t="shared" ref="L58" si="157">IF(AND(ISBLANK(L56),ISBLANK(L57)),"A",IFERROR(+MOD(L57-L56,1),L55))</f>
        <v>0.47222222222222221</v>
      </c>
      <c r="M58" s="24">
        <f t="shared" ref="M58" si="158">IF(AND(ISBLANK(M56),ISBLANK(M57)),"A",IFERROR(+MOD(M57-M56,1),M55))</f>
        <v>0.45833333333333337</v>
      </c>
      <c r="N58" s="24">
        <f t="shared" ref="N58" si="159">IF(AND(ISBLANK(N56),ISBLANK(N57)),"A",IFERROR(+MOD(N57-N56,1),N55))</f>
        <v>0.45833333333333337</v>
      </c>
      <c r="O58" s="24">
        <f t="shared" ref="O58" si="160">IF(AND(ISBLANK(O56),ISBLANK(O57)),"A",IFERROR(+MOD(O57-O56,1),O55))</f>
        <v>0.375</v>
      </c>
      <c r="P58" s="24" t="s">
        <v>5</v>
      </c>
      <c r="Q58" s="24">
        <f t="shared" ref="Q58" si="161">IF(AND(ISBLANK(Q56),ISBLANK(Q57)),"A",IFERROR(+MOD(Q57-Q56,1),Q55))</f>
        <v>0.50763888888888886</v>
      </c>
      <c r="R58" s="24" t="s">
        <v>5</v>
      </c>
      <c r="S58" s="24">
        <f t="shared" ref="S58" si="162">IF(AND(ISBLANK(S56),ISBLANK(S57)),"A",IFERROR(+MOD(S57-S56,1),S55))</f>
        <v>0.45833333333333337</v>
      </c>
      <c r="T58" s="24">
        <f t="shared" ref="T58" si="163">IF(AND(ISBLANK(T56),ISBLANK(T57)),"A",IFERROR(+MOD(T57-T56,1),T55))</f>
        <v>0.47222222222222221</v>
      </c>
      <c r="U58" s="24">
        <f t="shared" ref="U58" si="164">IF(AND(ISBLANK(U56),ISBLANK(U57)),"A",IFERROR(+MOD(U57-U56,1),U55))</f>
        <v>0.51041666666666663</v>
      </c>
      <c r="V58" s="24">
        <f t="shared" ref="V58" si="165">IF(AND(ISBLANK(V56),ISBLANK(V57)),"A",IFERROR(+MOD(V57-V56,1),V55))</f>
        <v>0.45833333333333337</v>
      </c>
      <c r="W58" s="24">
        <f t="shared" ref="W58" si="166">IF(AND(ISBLANK(W56),ISBLANK(W57)),"A",IFERROR(+MOD(W57-W56,1),W55))</f>
        <v>0.45833333333333337</v>
      </c>
      <c r="X58" s="24">
        <f t="shared" ref="X58" si="167">IF(AND(ISBLANK(X56),ISBLANK(X57)),"A",IFERROR(+MOD(X57-X56,1),X55))</f>
        <v>0.45833333333333337</v>
      </c>
      <c r="Y58" s="24" t="s">
        <v>5</v>
      </c>
      <c r="Z58" s="24">
        <f t="shared" ref="Z58" si="168">IF(AND(ISBLANK(Z56),ISBLANK(Z57)),"A",IFERROR(+MOD(Z57-Z56,1),Z55))</f>
        <v>0.47916666666666663</v>
      </c>
      <c r="AA58" s="24">
        <f t="shared" ref="AA58:AB58" si="169">IF(AND(ISBLANK(AA56),ISBLANK(AA57)),"A",IFERROR(+MOD(AA57-AA56,1),AA55))</f>
        <v>0.47222222222222221</v>
      </c>
      <c r="AB58" s="24">
        <f t="shared" si="169"/>
        <v>0.46527777777777779</v>
      </c>
      <c r="AC58" s="24">
        <f t="shared" ref="AC58" si="170">IF(AND(ISBLANK(AC56),ISBLANK(AC57)),"A",IFERROR(+MOD(AC57-AC56,1),AC55))</f>
        <v>0.45833333333333337</v>
      </c>
      <c r="AD58" s="24">
        <f t="shared" ref="AD58" si="171">IF(AND(ISBLANK(AD56),ISBLANK(AD57)),"A",IFERROR(+MOD(AD57-AD56,1),AD55))</f>
        <v>0.46527777777777779</v>
      </c>
      <c r="AE58" s="24" t="s">
        <v>5</v>
      </c>
      <c r="AF58" s="24" t="s">
        <v>5</v>
      </c>
      <c r="AG58" s="24">
        <f t="shared" ref="AG58" si="172">IF(AND(ISBLANK(AG56),ISBLANK(AG57)),"A",IFERROR(+MOD(AG57-AG56,1),AG55))</f>
        <v>0.44444444444444448</v>
      </c>
      <c r="AH58" s="24">
        <f t="shared" ref="AH58" si="173">IF(AND(ISBLANK(AH56),ISBLANK(AH57)),"A",IFERROR(+MOD(AH57-AH56,1),AH55))</f>
        <v>0.45138888888888895</v>
      </c>
      <c r="AI58" s="24">
        <f t="shared" ref="AI58" si="174">IF(AND(ISBLANK(AI56),ISBLANK(AI57)),"A",IFERROR(+MOD(AI57-AI56,1),AI55))</f>
        <v>0.45833333333333337</v>
      </c>
      <c r="AJ58" s="24">
        <f t="shared" ref="AJ58" si="175">IF(AND(ISBLANK(AJ56),ISBLANK(AJ57)),"A",IFERROR(+MOD(AJ57-AJ56,1),AJ55))</f>
        <v>0.45833333333333337</v>
      </c>
      <c r="AK58" s="24">
        <f t="shared" ref="AK58" si="176">IF(AND(ISBLANK(AK56),ISBLANK(AK57)),"A",IFERROR(+MOD(AK57-AK56,1),AK55))</f>
        <v>0.45833333333333337</v>
      </c>
      <c r="AL58" s="24">
        <f t="shared" ref="AL58" si="177">IF(AND(ISBLANK(AL56),ISBLANK(AL57)),"A",IFERROR(+MOD(AL57-AL56,1),AL55))</f>
        <v>0.375</v>
      </c>
      <c r="AM58" s="24" t="s">
        <v>5</v>
      </c>
      <c r="AN58" s="17">
        <f>COUNT(F58:AM58)</f>
        <v>24</v>
      </c>
      <c r="AO58" s="21"/>
    </row>
    <row r="59" spans="1:41">
      <c r="A59" s="8" t="s">
        <v>109</v>
      </c>
      <c r="B59" s="12" t="s">
        <v>230</v>
      </c>
      <c r="C59" s="10" t="s">
        <v>150</v>
      </c>
      <c r="D59" s="10" t="s">
        <v>157</v>
      </c>
      <c r="E59" s="10" t="s">
        <v>141</v>
      </c>
      <c r="F59" s="11">
        <v>45874</v>
      </c>
      <c r="G59" s="12" t="s">
        <v>32</v>
      </c>
      <c r="H59" s="12" t="s">
        <v>18</v>
      </c>
      <c r="I59" s="13" t="s">
        <v>4</v>
      </c>
      <c r="J59" s="2" t="s">
        <v>6</v>
      </c>
      <c r="K59" s="2" t="s">
        <v>5</v>
      </c>
      <c r="L59" s="2" t="s">
        <v>5</v>
      </c>
      <c r="M59" s="2" t="s">
        <v>5</v>
      </c>
      <c r="N59" s="2" t="s">
        <v>6</v>
      </c>
      <c r="O59" s="2" t="s">
        <v>5</v>
      </c>
      <c r="P59" s="2" t="s">
        <v>5</v>
      </c>
      <c r="Q59" s="2" t="s">
        <v>5</v>
      </c>
      <c r="R59" s="2" t="s">
        <v>5</v>
      </c>
      <c r="S59" s="2" t="s">
        <v>6</v>
      </c>
      <c r="T59" s="2" t="s">
        <v>5</v>
      </c>
      <c r="U59" s="2" t="s">
        <v>5</v>
      </c>
      <c r="V59" s="2" t="s">
        <v>5</v>
      </c>
      <c r="W59" s="2" t="s">
        <v>5</v>
      </c>
      <c r="X59" s="2" t="s">
        <v>5</v>
      </c>
      <c r="Y59" s="2" t="s">
        <v>5</v>
      </c>
      <c r="Z59" s="2" t="s">
        <v>5</v>
      </c>
      <c r="AA59" s="2" t="s">
        <v>5</v>
      </c>
      <c r="AB59" s="2" t="s">
        <v>5</v>
      </c>
      <c r="AC59" s="2" t="s">
        <v>5</v>
      </c>
      <c r="AD59" s="2" t="s">
        <v>5</v>
      </c>
      <c r="AE59" s="2" t="s">
        <v>5</v>
      </c>
      <c r="AF59" s="2" t="s">
        <v>5</v>
      </c>
      <c r="AG59" s="2" t="s">
        <v>5</v>
      </c>
      <c r="AH59" s="2" t="s">
        <v>5</v>
      </c>
      <c r="AI59" s="2" t="s">
        <v>5</v>
      </c>
      <c r="AJ59" s="2" t="s">
        <v>5</v>
      </c>
      <c r="AK59" s="2" t="s">
        <v>5</v>
      </c>
      <c r="AL59" s="2" t="s">
        <v>5</v>
      </c>
      <c r="AM59" s="2" t="s">
        <v>5</v>
      </c>
      <c r="AN59" s="20"/>
      <c r="AO59" s="12" t="s">
        <v>17</v>
      </c>
    </row>
    <row r="60" spans="1:41">
      <c r="A60" s="1" t="s">
        <v>109</v>
      </c>
      <c r="B60" s="12" t="s">
        <v>230</v>
      </c>
      <c r="C60" s="1" t="s">
        <v>150</v>
      </c>
      <c r="D60" s="10" t="s">
        <v>157</v>
      </c>
      <c r="E60" s="1" t="s">
        <v>141</v>
      </c>
      <c r="F60" s="6">
        <v>45874</v>
      </c>
      <c r="G60" s="1" t="s">
        <v>32</v>
      </c>
      <c r="H60" s="12" t="s">
        <v>18</v>
      </c>
      <c r="I60" s="7" t="s">
        <v>7</v>
      </c>
      <c r="J60" s="2">
        <v>0.375</v>
      </c>
      <c r="K60" s="2" t="s">
        <v>5</v>
      </c>
      <c r="L60" s="2" t="s">
        <v>5</v>
      </c>
      <c r="M60" s="2" t="s">
        <v>5</v>
      </c>
      <c r="N60" s="2">
        <v>0.375</v>
      </c>
      <c r="O60" s="2" t="s">
        <v>5</v>
      </c>
      <c r="P60" s="2" t="s">
        <v>5</v>
      </c>
      <c r="Q60" s="2" t="s">
        <v>5</v>
      </c>
      <c r="R60" s="2" t="s">
        <v>5</v>
      </c>
      <c r="S60" s="2">
        <v>0.375</v>
      </c>
      <c r="T60" s="2" t="s">
        <v>5</v>
      </c>
      <c r="U60" s="2" t="s">
        <v>5</v>
      </c>
      <c r="V60" s="2" t="s">
        <v>5</v>
      </c>
      <c r="W60" s="2" t="s">
        <v>5</v>
      </c>
      <c r="X60" s="2" t="s">
        <v>5</v>
      </c>
      <c r="Y60" s="2" t="s">
        <v>5</v>
      </c>
      <c r="Z60" s="2" t="s">
        <v>5</v>
      </c>
      <c r="AA60" s="2" t="s">
        <v>5</v>
      </c>
      <c r="AB60" s="2" t="s">
        <v>5</v>
      </c>
      <c r="AC60" s="2" t="s">
        <v>5</v>
      </c>
      <c r="AD60" s="2" t="s">
        <v>5</v>
      </c>
      <c r="AE60" s="2" t="s">
        <v>5</v>
      </c>
      <c r="AF60" s="2" t="s">
        <v>5</v>
      </c>
      <c r="AG60" s="2" t="s">
        <v>5</v>
      </c>
      <c r="AH60" s="2" t="s">
        <v>5</v>
      </c>
      <c r="AI60" s="2" t="s">
        <v>5</v>
      </c>
      <c r="AJ60" s="2" t="s">
        <v>5</v>
      </c>
      <c r="AK60" s="2" t="s">
        <v>5</v>
      </c>
      <c r="AL60" s="2" t="s">
        <v>5</v>
      </c>
      <c r="AM60" s="2" t="s">
        <v>5</v>
      </c>
      <c r="AN60" s="20"/>
      <c r="AO60" s="12"/>
    </row>
    <row r="61" spans="1:41">
      <c r="A61" s="1" t="s">
        <v>109</v>
      </c>
      <c r="B61" s="12" t="s">
        <v>230</v>
      </c>
      <c r="C61" s="1" t="s">
        <v>150</v>
      </c>
      <c r="D61" s="10" t="s">
        <v>157</v>
      </c>
      <c r="E61" s="1" t="s">
        <v>141</v>
      </c>
      <c r="F61" s="6">
        <v>45874</v>
      </c>
      <c r="G61" s="1" t="s">
        <v>32</v>
      </c>
      <c r="H61" s="12" t="s">
        <v>18</v>
      </c>
      <c r="I61" s="7" t="s">
        <v>8</v>
      </c>
      <c r="J61" s="2">
        <v>0.85555555555555562</v>
      </c>
      <c r="K61" s="2" t="s">
        <v>5</v>
      </c>
      <c r="L61" s="2" t="s">
        <v>5</v>
      </c>
      <c r="M61" s="2" t="s">
        <v>5</v>
      </c>
      <c r="N61" s="2">
        <v>0.83333333333333337</v>
      </c>
      <c r="O61" s="2" t="s">
        <v>5</v>
      </c>
      <c r="P61" s="2" t="s">
        <v>5</v>
      </c>
      <c r="Q61" s="2" t="s">
        <v>5</v>
      </c>
      <c r="R61" s="2" t="s">
        <v>5</v>
      </c>
      <c r="S61" s="2">
        <v>0.875</v>
      </c>
      <c r="T61" s="2" t="s">
        <v>5</v>
      </c>
      <c r="U61" s="2" t="s">
        <v>5</v>
      </c>
      <c r="V61" s="2" t="s">
        <v>5</v>
      </c>
      <c r="W61" s="2" t="s">
        <v>5</v>
      </c>
      <c r="X61" s="2" t="s">
        <v>5</v>
      </c>
      <c r="Y61" s="2" t="s">
        <v>5</v>
      </c>
      <c r="Z61" s="2" t="s">
        <v>5</v>
      </c>
      <c r="AA61" s="2" t="s">
        <v>5</v>
      </c>
      <c r="AB61" s="2" t="s">
        <v>5</v>
      </c>
      <c r="AC61" s="2" t="s">
        <v>5</v>
      </c>
      <c r="AD61" s="2" t="s">
        <v>5</v>
      </c>
      <c r="AE61" s="2" t="s">
        <v>5</v>
      </c>
      <c r="AF61" s="2" t="s">
        <v>5</v>
      </c>
      <c r="AG61" s="2" t="s">
        <v>5</v>
      </c>
      <c r="AH61" s="2" t="s">
        <v>5</v>
      </c>
      <c r="AI61" s="2" t="s">
        <v>5</v>
      </c>
      <c r="AJ61" s="2" t="s">
        <v>5</v>
      </c>
      <c r="AK61" s="2" t="s">
        <v>5</v>
      </c>
      <c r="AL61" s="2" t="s">
        <v>5</v>
      </c>
      <c r="AM61" s="2" t="s">
        <v>5</v>
      </c>
      <c r="AN61" s="20"/>
      <c r="AO61" s="12"/>
    </row>
    <row r="62" spans="1:41">
      <c r="A62" s="21" t="s">
        <v>109</v>
      </c>
      <c r="B62" s="21" t="s">
        <v>230</v>
      </c>
      <c r="C62" s="21" t="s">
        <v>150</v>
      </c>
      <c r="D62" s="21" t="s">
        <v>157</v>
      </c>
      <c r="E62" s="21" t="s">
        <v>141</v>
      </c>
      <c r="F62" s="22">
        <v>45874</v>
      </c>
      <c r="G62" s="21" t="s">
        <v>32</v>
      </c>
      <c r="H62" s="21" t="s">
        <v>18</v>
      </c>
      <c r="I62" s="23" t="s">
        <v>9</v>
      </c>
      <c r="J62" s="24">
        <f>IF(AND(ISBLANK(J60),ISBLANK(J61)),"A",IFERROR(+MOD(J61-J60,1),J59))</f>
        <v>0.48055555555555562</v>
      </c>
      <c r="K62" s="24" t="s">
        <v>5</v>
      </c>
      <c r="L62" s="24" t="s">
        <v>5</v>
      </c>
      <c r="M62" s="24" t="s">
        <v>5</v>
      </c>
      <c r="N62" s="24">
        <f t="shared" ref="N62" si="178">IF(AND(ISBLANK(N60),ISBLANK(N61)),"A",IFERROR(+MOD(N61-N60,1),N59))</f>
        <v>0.45833333333333337</v>
      </c>
      <c r="O62" s="24" t="s">
        <v>5</v>
      </c>
      <c r="P62" s="24" t="s">
        <v>5</v>
      </c>
      <c r="Q62" s="24" t="s">
        <v>5</v>
      </c>
      <c r="R62" s="24" t="s">
        <v>5</v>
      </c>
      <c r="S62" s="24">
        <f t="shared" ref="S62" si="179">IF(AND(ISBLANK(S60),ISBLANK(S61)),"A",IFERROR(+MOD(S61-S60,1),S59))</f>
        <v>0.5</v>
      </c>
      <c r="T62" s="24" t="s">
        <v>5</v>
      </c>
      <c r="U62" s="24" t="s">
        <v>5</v>
      </c>
      <c r="V62" s="24" t="s">
        <v>5</v>
      </c>
      <c r="W62" s="24" t="s">
        <v>5</v>
      </c>
      <c r="X62" s="24" t="s">
        <v>5</v>
      </c>
      <c r="Y62" s="24" t="s">
        <v>5</v>
      </c>
      <c r="Z62" s="24" t="s">
        <v>5</v>
      </c>
      <c r="AA62" s="24" t="s">
        <v>5</v>
      </c>
      <c r="AB62" s="24" t="s">
        <v>5</v>
      </c>
      <c r="AC62" s="24" t="s">
        <v>5</v>
      </c>
      <c r="AD62" s="24" t="s">
        <v>5</v>
      </c>
      <c r="AE62" s="24" t="s">
        <v>5</v>
      </c>
      <c r="AF62" s="24" t="s">
        <v>5</v>
      </c>
      <c r="AG62" s="24" t="s">
        <v>5</v>
      </c>
      <c r="AH62" s="24" t="s">
        <v>5</v>
      </c>
      <c r="AI62" s="24" t="s">
        <v>5</v>
      </c>
      <c r="AJ62" s="24" t="s">
        <v>5</v>
      </c>
      <c r="AK62" s="24" t="s">
        <v>5</v>
      </c>
      <c r="AL62" s="24" t="s">
        <v>5</v>
      </c>
      <c r="AM62" s="24" t="s">
        <v>5</v>
      </c>
      <c r="AN62" s="17">
        <f>COUNT(F62:AM62)</f>
        <v>4</v>
      </c>
      <c r="AO62" s="21"/>
    </row>
    <row r="63" spans="1:41">
      <c r="A63" s="8" t="s">
        <v>126</v>
      </c>
      <c r="B63" s="12" t="s">
        <v>229</v>
      </c>
      <c r="C63" s="10" t="s">
        <v>52</v>
      </c>
      <c r="D63" s="10" t="s">
        <v>42</v>
      </c>
      <c r="E63" s="10" t="s">
        <v>144</v>
      </c>
      <c r="F63" s="11">
        <v>45875</v>
      </c>
      <c r="G63" s="12" t="s">
        <v>32</v>
      </c>
      <c r="H63" s="12" t="s">
        <v>18</v>
      </c>
      <c r="I63" s="13" t="s">
        <v>4</v>
      </c>
      <c r="J63" s="2" t="s">
        <v>6</v>
      </c>
      <c r="K63" s="2" t="s">
        <v>5</v>
      </c>
      <c r="L63" s="2" t="s">
        <v>6</v>
      </c>
      <c r="M63" s="2" t="s">
        <v>6</v>
      </c>
      <c r="N63" s="2" t="s">
        <v>6</v>
      </c>
      <c r="O63" s="2" t="s">
        <v>6</v>
      </c>
      <c r="P63" s="2" t="s">
        <v>6</v>
      </c>
      <c r="Q63" s="2" t="s">
        <v>6</v>
      </c>
      <c r="R63" s="2" t="s">
        <v>5</v>
      </c>
      <c r="S63" s="2" t="s">
        <v>6</v>
      </c>
      <c r="T63" s="2" t="s">
        <v>6</v>
      </c>
      <c r="U63" s="2" t="s">
        <v>6</v>
      </c>
      <c r="V63" s="2" t="s">
        <v>6</v>
      </c>
      <c r="W63" s="2" t="s">
        <v>6</v>
      </c>
      <c r="X63" s="2" t="s">
        <v>5</v>
      </c>
      <c r="Y63" s="2" t="s">
        <v>5</v>
      </c>
      <c r="Z63" s="2" t="s">
        <v>6</v>
      </c>
      <c r="AA63" s="2" t="s">
        <v>6</v>
      </c>
      <c r="AB63" s="2" t="s">
        <v>6</v>
      </c>
      <c r="AC63" s="2" t="s">
        <v>5</v>
      </c>
      <c r="AD63" s="2" t="s">
        <v>5</v>
      </c>
      <c r="AE63" s="2" t="s">
        <v>6</v>
      </c>
      <c r="AF63" s="2" t="s">
        <v>5</v>
      </c>
      <c r="AG63" s="2" t="s">
        <v>6</v>
      </c>
      <c r="AH63" s="2" t="s">
        <v>6</v>
      </c>
      <c r="AI63" s="2" t="s">
        <v>6</v>
      </c>
      <c r="AJ63" s="2" t="s">
        <v>6</v>
      </c>
      <c r="AK63" s="2" t="s">
        <v>6</v>
      </c>
      <c r="AL63" s="2" t="s">
        <v>6</v>
      </c>
      <c r="AM63" s="2" t="s">
        <v>5</v>
      </c>
      <c r="AN63" s="20"/>
      <c r="AO63" s="12" t="s">
        <v>18</v>
      </c>
    </row>
    <row r="64" spans="1:41">
      <c r="A64" s="1" t="s">
        <v>126</v>
      </c>
      <c r="B64" s="12" t="s">
        <v>229</v>
      </c>
      <c r="C64" s="1" t="s">
        <v>52</v>
      </c>
      <c r="D64" s="1" t="s">
        <v>42</v>
      </c>
      <c r="E64" s="1" t="s">
        <v>144</v>
      </c>
      <c r="F64" s="6">
        <v>45875</v>
      </c>
      <c r="G64" s="1" t="s">
        <v>32</v>
      </c>
      <c r="H64" s="12" t="s">
        <v>18</v>
      </c>
      <c r="I64" s="7" t="s">
        <v>7</v>
      </c>
      <c r="J64" s="2">
        <v>0.375</v>
      </c>
      <c r="K64" s="2" t="s">
        <v>5</v>
      </c>
      <c r="L64" s="2">
        <v>0.375</v>
      </c>
      <c r="M64" s="2">
        <v>0.375</v>
      </c>
      <c r="N64" s="2">
        <v>0.375</v>
      </c>
      <c r="O64" s="2">
        <v>0.75</v>
      </c>
      <c r="P64" s="2">
        <v>0.375</v>
      </c>
      <c r="Q64" s="2">
        <v>0.375</v>
      </c>
      <c r="R64" s="2" t="s">
        <v>5</v>
      </c>
      <c r="S64" s="2">
        <v>0.375</v>
      </c>
      <c r="T64" s="2">
        <v>0.375</v>
      </c>
      <c r="U64" s="2">
        <v>0.3888888888888889</v>
      </c>
      <c r="V64" s="2">
        <v>0.38541666666666669</v>
      </c>
      <c r="W64" s="2">
        <v>0.375</v>
      </c>
      <c r="X64" s="2" t="s">
        <v>5</v>
      </c>
      <c r="Y64" s="2" t="s">
        <v>5</v>
      </c>
      <c r="Z64" s="2">
        <v>0.39583333333333331</v>
      </c>
      <c r="AA64" s="2">
        <v>0.375</v>
      </c>
      <c r="AB64" s="2">
        <v>0.375</v>
      </c>
      <c r="AC64" s="2" t="s">
        <v>5</v>
      </c>
      <c r="AD64" s="2" t="s">
        <v>5</v>
      </c>
      <c r="AE64" s="2">
        <v>0.375</v>
      </c>
      <c r="AF64" s="2" t="s">
        <v>5</v>
      </c>
      <c r="AG64" s="2">
        <v>0.3888888888888889</v>
      </c>
      <c r="AH64" s="2">
        <v>0.375</v>
      </c>
      <c r="AI64" s="2">
        <v>0.375</v>
      </c>
      <c r="AJ64" s="2">
        <v>0.375</v>
      </c>
      <c r="AK64" s="2">
        <v>0.375</v>
      </c>
      <c r="AL64" s="2">
        <v>0.375</v>
      </c>
      <c r="AM64" s="2" t="s">
        <v>5</v>
      </c>
      <c r="AN64" s="20"/>
      <c r="AO64" s="12"/>
    </row>
    <row r="65" spans="1:41 16379:16379">
      <c r="A65" s="1" t="s">
        <v>126</v>
      </c>
      <c r="B65" s="12" t="s">
        <v>229</v>
      </c>
      <c r="C65" s="1" t="s">
        <v>52</v>
      </c>
      <c r="D65" s="1" t="s">
        <v>42</v>
      </c>
      <c r="E65" s="1" t="s">
        <v>144</v>
      </c>
      <c r="F65" s="6">
        <v>45875</v>
      </c>
      <c r="G65" s="1" t="s">
        <v>32</v>
      </c>
      <c r="H65" s="12" t="s">
        <v>18</v>
      </c>
      <c r="I65" s="7" t="s">
        <v>8</v>
      </c>
      <c r="J65" s="2">
        <v>0.75</v>
      </c>
      <c r="K65" s="2" t="s">
        <v>5</v>
      </c>
      <c r="L65" s="2">
        <v>0.79166666666666663</v>
      </c>
      <c r="M65" s="2">
        <v>0.8125</v>
      </c>
      <c r="N65" s="2">
        <v>0.875</v>
      </c>
      <c r="O65" s="2">
        <v>0.875</v>
      </c>
      <c r="P65" s="2">
        <v>0.75</v>
      </c>
      <c r="Q65" s="2">
        <v>0.75</v>
      </c>
      <c r="R65" s="2" t="s">
        <v>5</v>
      </c>
      <c r="S65" s="2">
        <v>0.875</v>
      </c>
      <c r="T65" s="2">
        <v>0.85416666666666663</v>
      </c>
      <c r="U65" s="2">
        <v>0.83333333333333337</v>
      </c>
      <c r="V65" s="2">
        <v>0.83333333333333337</v>
      </c>
      <c r="W65" s="2">
        <v>0.875</v>
      </c>
      <c r="X65" s="2" t="s">
        <v>5</v>
      </c>
      <c r="Y65" s="2" t="s">
        <v>5</v>
      </c>
      <c r="Z65" s="2">
        <v>0.88194444444444453</v>
      </c>
      <c r="AA65" s="2">
        <v>0.75</v>
      </c>
      <c r="AB65" s="2">
        <v>0.875</v>
      </c>
      <c r="AC65" s="2" t="s">
        <v>5</v>
      </c>
      <c r="AD65" s="2" t="s">
        <v>5</v>
      </c>
      <c r="AE65" s="2">
        <v>0.75</v>
      </c>
      <c r="AF65" s="2" t="s">
        <v>5</v>
      </c>
      <c r="AG65" s="2">
        <v>0.91666666666666663</v>
      </c>
      <c r="AH65" s="2">
        <v>0.79166666666666663</v>
      </c>
      <c r="AI65" s="2">
        <v>0.96597222222222223</v>
      </c>
      <c r="AJ65" s="2">
        <v>0.89583333333333337</v>
      </c>
      <c r="AK65" s="2">
        <v>0.66666666666666663</v>
      </c>
      <c r="AL65" s="2">
        <v>0.75</v>
      </c>
      <c r="AM65" s="2" t="s">
        <v>5</v>
      </c>
      <c r="AN65" s="20"/>
      <c r="AO65" s="12"/>
    </row>
    <row r="66" spans="1:41 16379:16379">
      <c r="A66" s="21" t="s">
        <v>126</v>
      </c>
      <c r="B66" s="21" t="s">
        <v>229</v>
      </c>
      <c r="C66" s="21" t="s">
        <v>52</v>
      </c>
      <c r="D66" s="21" t="s">
        <v>42</v>
      </c>
      <c r="E66" s="21" t="s">
        <v>144</v>
      </c>
      <c r="F66" s="22">
        <v>45875</v>
      </c>
      <c r="G66" s="21" t="s">
        <v>32</v>
      </c>
      <c r="H66" s="21" t="s">
        <v>18</v>
      </c>
      <c r="I66" s="23" t="s">
        <v>9</v>
      </c>
      <c r="J66" s="24">
        <f>IF(AND(ISBLANK(J64),ISBLANK(J65)),"A",IFERROR(+MOD(J65-J64,1),J63))</f>
        <v>0.375</v>
      </c>
      <c r="K66" s="24" t="s">
        <v>5</v>
      </c>
      <c r="L66" s="24">
        <f t="shared" ref="L66" si="180">IF(AND(ISBLANK(L64),ISBLANK(L65)),"A",IFERROR(+MOD(L65-L64,1),L63))</f>
        <v>0.41666666666666663</v>
      </c>
      <c r="M66" s="24">
        <f t="shared" ref="M66" si="181">IF(AND(ISBLANK(M64),ISBLANK(M65)),"A",IFERROR(+MOD(M65-M64,1),M63))</f>
        <v>0.4375</v>
      </c>
      <c r="N66" s="24">
        <f t="shared" ref="N66:O66" si="182">IF(AND(ISBLANK(N64),ISBLANK(N65)),"A",IFERROR(+MOD(N65-N64,1),N63))</f>
        <v>0.5</v>
      </c>
      <c r="O66" s="24">
        <f t="shared" si="182"/>
        <v>0.125</v>
      </c>
      <c r="P66" s="24">
        <f t="shared" ref="P66:Q66" si="183">IF(AND(ISBLANK(P64),ISBLANK(P65)),"A",IFERROR(+MOD(P65-P64,1),P63))</f>
        <v>0.375</v>
      </c>
      <c r="Q66" s="24">
        <f t="shared" si="183"/>
        <v>0.375</v>
      </c>
      <c r="R66" s="24" t="s">
        <v>5</v>
      </c>
      <c r="S66" s="24">
        <f t="shared" ref="S66:T66" si="184">IF(AND(ISBLANK(S64),ISBLANK(S65)),"A",IFERROR(+MOD(S65-S64,1),S63))</f>
        <v>0.5</v>
      </c>
      <c r="T66" s="24">
        <f t="shared" si="184"/>
        <v>0.47916666666666663</v>
      </c>
      <c r="U66" s="24">
        <f t="shared" ref="U66" si="185">IF(AND(ISBLANK(U64),ISBLANK(U65)),"A",IFERROR(+MOD(U65-U64,1),U63))</f>
        <v>0.44444444444444448</v>
      </c>
      <c r="V66" s="24">
        <f t="shared" ref="V66" si="186">IF(AND(ISBLANK(V64),ISBLANK(V65)),"A",IFERROR(+MOD(V65-V64,1),V63))</f>
        <v>0.44791666666666669</v>
      </c>
      <c r="W66" s="24">
        <f t="shared" ref="W66" si="187">IF(AND(ISBLANK(W64),ISBLANK(W65)),"A",IFERROR(+MOD(W65-W64,1),W63))</f>
        <v>0.5</v>
      </c>
      <c r="X66" s="24" t="s">
        <v>5</v>
      </c>
      <c r="Y66" s="24" t="s">
        <v>5</v>
      </c>
      <c r="Z66" s="24">
        <f t="shared" ref="Z66" si="188">IF(AND(ISBLANK(Z64),ISBLANK(Z65)),"A",IFERROR(+MOD(Z65-Z64,1),Z63))</f>
        <v>0.48611111111111122</v>
      </c>
      <c r="AA66" s="24">
        <f t="shared" ref="AA66:AB66" si="189">IF(AND(ISBLANK(AA64),ISBLANK(AA65)),"A",IFERROR(+MOD(AA65-AA64,1),AA63))</f>
        <v>0.375</v>
      </c>
      <c r="AB66" s="24">
        <f t="shared" si="189"/>
        <v>0.5</v>
      </c>
      <c r="AC66" s="24" t="s">
        <v>5</v>
      </c>
      <c r="AD66" s="24" t="s">
        <v>5</v>
      </c>
      <c r="AE66" s="24">
        <f t="shared" ref="AE66" si="190">IF(AND(ISBLANK(AE64),ISBLANK(AE65)),"A",IFERROR(+MOD(AE65-AE64,1),AE63))</f>
        <v>0.375</v>
      </c>
      <c r="AF66" s="24" t="s">
        <v>5</v>
      </c>
      <c r="AG66" s="24">
        <f t="shared" ref="AG66" si="191">IF(AND(ISBLANK(AG64),ISBLANK(AG65)),"A",IFERROR(+MOD(AG65-AG64,1),AG63))</f>
        <v>0.52777777777777768</v>
      </c>
      <c r="AH66" s="24">
        <f t="shared" ref="AH66" si="192">IF(AND(ISBLANK(AH64),ISBLANK(AH65)),"A",IFERROR(+MOD(AH65-AH64,1),AH63))</f>
        <v>0.41666666666666663</v>
      </c>
      <c r="AI66" s="24">
        <f t="shared" ref="AI66" si="193">IF(AND(ISBLANK(AI64),ISBLANK(AI65)),"A",IFERROR(+MOD(AI65-AI64,1),AI63))</f>
        <v>0.59097222222222223</v>
      </c>
      <c r="AJ66" s="24">
        <f t="shared" ref="AJ66" si="194">IF(AND(ISBLANK(AJ64),ISBLANK(AJ65)),"A",IFERROR(+MOD(AJ65-AJ64,1),AJ63))</f>
        <v>0.52083333333333337</v>
      </c>
      <c r="AK66" s="24">
        <f t="shared" ref="AK66" si="195">IF(AND(ISBLANK(AK64),ISBLANK(AK65)),"A",IFERROR(+MOD(AK65-AK64,1),AK63))</f>
        <v>0.29166666666666663</v>
      </c>
      <c r="AL66" s="24">
        <f t="shared" ref="AL66" si="196">IF(AND(ISBLANK(AL64),ISBLANK(AL65)),"A",IFERROR(+MOD(AL65-AL64,1),AL63))</f>
        <v>0.375</v>
      </c>
      <c r="AM66" s="24" t="s">
        <v>5</v>
      </c>
      <c r="AN66" s="17">
        <f>COUNT(F66:AM66)</f>
        <v>23</v>
      </c>
      <c r="AO66" s="21"/>
    </row>
    <row r="67" spans="1:41 16379:16379">
      <c r="A67" s="8" t="s">
        <v>123</v>
      </c>
      <c r="B67" s="12" t="s">
        <v>228</v>
      </c>
      <c r="C67" s="10" t="s">
        <v>67</v>
      </c>
      <c r="D67" s="10" t="s">
        <v>10</v>
      </c>
      <c r="E67" s="10" t="s">
        <v>30</v>
      </c>
      <c r="F67" s="11">
        <v>45875</v>
      </c>
      <c r="G67" s="12" t="s">
        <v>32</v>
      </c>
      <c r="H67" s="12" t="s">
        <v>18</v>
      </c>
      <c r="I67" s="13" t="s">
        <v>4</v>
      </c>
      <c r="J67" s="2" t="s">
        <v>5</v>
      </c>
      <c r="K67" s="2" t="s">
        <v>5</v>
      </c>
      <c r="L67" s="2" t="s">
        <v>6</v>
      </c>
      <c r="M67" s="2" t="s">
        <v>6</v>
      </c>
      <c r="N67" s="2" t="s">
        <v>6</v>
      </c>
      <c r="O67" s="2" t="s">
        <v>6</v>
      </c>
      <c r="P67" s="2" t="s">
        <v>6</v>
      </c>
      <c r="Q67" s="2" t="s">
        <v>6</v>
      </c>
      <c r="R67" s="2" t="s">
        <v>5</v>
      </c>
      <c r="S67" s="2" t="s">
        <v>5</v>
      </c>
      <c r="T67" s="2" t="s">
        <v>5</v>
      </c>
      <c r="U67" s="2" t="s">
        <v>6</v>
      </c>
      <c r="V67" s="2" t="s">
        <v>6</v>
      </c>
      <c r="W67" s="2" t="s">
        <v>6</v>
      </c>
      <c r="X67" s="2" t="s">
        <v>5</v>
      </c>
      <c r="Y67" s="2" t="s">
        <v>5</v>
      </c>
      <c r="Z67" s="2" t="s">
        <v>5</v>
      </c>
      <c r="AA67" s="2" t="s">
        <v>6</v>
      </c>
      <c r="AB67" s="2" t="s">
        <v>6</v>
      </c>
      <c r="AC67" s="2" t="s">
        <v>6</v>
      </c>
      <c r="AD67" s="2" t="s">
        <v>6</v>
      </c>
      <c r="AE67" s="2" t="s">
        <v>6</v>
      </c>
      <c r="AF67" s="2" t="s">
        <v>5</v>
      </c>
      <c r="AG67" s="2" t="s">
        <v>5</v>
      </c>
      <c r="AH67" s="2" t="s">
        <v>6</v>
      </c>
      <c r="AI67" s="2" t="s">
        <v>6</v>
      </c>
      <c r="AJ67" s="2" t="s">
        <v>6</v>
      </c>
      <c r="AK67" s="2" t="s">
        <v>6</v>
      </c>
      <c r="AL67" s="2" t="s">
        <v>6</v>
      </c>
      <c r="AM67" s="2" t="s">
        <v>5</v>
      </c>
      <c r="AN67" s="20"/>
      <c r="AO67" s="12" t="s">
        <v>18</v>
      </c>
    </row>
    <row r="68" spans="1:41 16379:16379">
      <c r="A68" s="1" t="s">
        <v>123</v>
      </c>
      <c r="B68" s="12" t="s">
        <v>228</v>
      </c>
      <c r="C68" s="1" t="s">
        <v>67</v>
      </c>
      <c r="D68" s="1" t="s">
        <v>10</v>
      </c>
      <c r="E68" s="1" t="s">
        <v>30</v>
      </c>
      <c r="F68" s="6">
        <v>45875</v>
      </c>
      <c r="G68" s="1" t="s">
        <v>32</v>
      </c>
      <c r="H68" s="12" t="s">
        <v>18</v>
      </c>
      <c r="I68" s="7" t="s">
        <v>7</v>
      </c>
      <c r="J68" s="2" t="s">
        <v>5</v>
      </c>
      <c r="K68" s="2" t="s">
        <v>5</v>
      </c>
      <c r="L68" s="2">
        <v>0.33333333333333331</v>
      </c>
      <c r="M68" s="2">
        <v>0.375</v>
      </c>
      <c r="N68" s="2">
        <v>0.375</v>
      </c>
      <c r="O68" s="2">
        <v>0.375</v>
      </c>
      <c r="P68" s="2">
        <v>0.375</v>
      </c>
      <c r="Q68" s="2">
        <v>0.375</v>
      </c>
      <c r="R68" s="2" t="s">
        <v>5</v>
      </c>
      <c r="S68" s="2" t="s">
        <v>5</v>
      </c>
      <c r="T68" s="2" t="s">
        <v>5</v>
      </c>
      <c r="U68" s="2">
        <v>0.375</v>
      </c>
      <c r="V68" s="2">
        <v>0.38541666666666669</v>
      </c>
      <c r="W68" s="2">
        <v>0.375</v>
      </c>
      <c r="X68" s="2" t="s">
        <v>5</v>
      </c>
      <c r="Y68" s="2" t="s">
        <v>5</v>
      </c>
      <c r="Z68" s="2" t="s">
        <v>5</v>
      </c>
      <c r="AA68" s="2">
        <v>0.375</v>
      </c>
      <c r="AB68" s="2">
        <v>0.375</v>
      </c>
      <c r="AC68" s="2">
        <v>0.375</v>
      </c>
      <c r="AD68" s="2">
        <v>0.375</v>
      </c>
      <c r="AE68" s="2">
        <v>0.375</v>
      </c>
      <c r="AF68" s="2" t="s">
        <v>5</v>
      </c>
      <c r="AG68" s="2" t="s">
        <v>5</v>
      </c>
      <c r="AH68" s="2">
        <v>0.375</v>
      </c>
      <c r="AI68" s="2">
        <v>0.3923611111111111</v>
      </c>
      <c r="AJ68" s="2">
        <v>0.375</v>
      </c>
      <c r="AK68" s="2">
        <v>0.375</v>
      </c>
      <c r="AL68" s="2">
        <v>0.375</v>
      </c>
      <c r="AM68" s="2" t="s">
        <v>5</v>
      </c>
      <c r="AN68" s="20"/>
      <c r="AO68" s="12"/>
    </row>
    <row r="69" spans="1:41 16379:16379">
      <c r="A69" s="1" t="s">
        <v>123</v>
      </c>
      <c r="B69" s="12" t="s">
        <v>228</v>
      </c>
      <c r="C69" s="1" t="s">
        <v>67</v>
      </c>
      <c r="D69" s="1" t="s">
        <v>10</v>
      </c>
      <c r="E69" s="1" t="s">
        <v>30</v>
      </c>
      <c r="F69" s="6">
        <v>45875</v>
      </c>
      <c r="G69" s="1" t="s">
        <v>32</v>
      </c>
      <c r="H69" s="12" t="s">
        <v>18</v>
      </c>
      <c r="I69" s="7" t="s">
        <v>8</v>
      </c>
      <c r="J69" s="2" t="s">
        <v>5</v>
      </c>
      <c r="K69" s="2" t="s">
        <v>5</v>
      </c>
      <c r="L69" s="2">
        <v>0.70833333333333337</v>
      </c>
      <c r="M69" s="2">
        <v>0.75</v>
      </c>
      <c r="N69" s="2">
        <v>0.75</v>
      </c>
      <c r="O69" s="2">
        <v>0.75</v>
      </c>
      <c r="P69" s="2">
        <v>0.75</v>
      </c>
      <c r="Q69" s="2">
        <v>0.57291666666666663</v>
      </c>
      <c r="R69" s="2" t="s">
        <v>5</v>
      </c>
      <c r="S69" s="2" t="s">
        <v>5</v>
      </c>
      <c r="T69" s="2" t="s">
        <v>5</v>
      </c>
      <c r="U69" s="2">
        <v>0.75</v>
      </c>
      <c r="V69" s="2">
        <v>0.75</v>
      </c>
      <c r="W69" s="2">
        <v>0.75</v>
      </c>
      <c r="X69" s="2" t="s">
        <v>5</v>
      </c>
      <c r="Y69" s="2" t="s">
        <v>5</v>
      </c>
      <c r="Z69" s="2" t="s">
        <v>5</v>
      </c>
      <c r="AA69" s="2">
        <v>0.75</v>
      </c>
      <c r="AB69" s="2">
        <v>0.75</v>
      </c>
      <c r="AC69" s="2">
        <v>0.75</v>
      </c>
      <c r="AD69" s="2">
        <v>0.75</v>
      </c>
      <c r="AE69" s="2">
        <v>0.75</v>
      </c>
      <c r="AF69" s="2" t="s">
        <v>5</v>
      </c>
      <c r="AG69" s="2" t="s">
        <v>5</v>
      </c>
      <c r="AH69" s="2">
        <v>0.75</v>
      </c>
      <c r="AI69" s="2">
        <v>0.75</v>
      </c>
      <c r="AJ69" s="2">
        <v>0.75</v>
      </c>
      <c r="AK69" s="2">
        <v>0.75</v>
      </c>
      <c r="AL69" s="2">
        <v>0.75</v>
      </c>
      <c r="AM69" s="2" t="s">
        <v>5</v>
      </c>
      <c r="AN69" s="20"/>
      <c r="AO69" s="12"/>
    </row>
    <row r="70" spans="1:41 16379:16379">
      <c r="A70" s="21" t="s">
        <v>123</v>
      </c>
      <c r="B70" s="21" t="s">
        <v>228</v>
      </c>
      <c r="C70" s="21" t="s">
        <v>67</v>
      </c>
      <c r="D70" s="21" t="s">
        <v>10</v>
      </c>
      <c r="E70" s="21" t="s">
        <v>30</v>
      </c>
      <c r="F70" s="22">
        <v>45875</v>
      </c>
      <c r="G70" s="21" t="s">
        <v>32</v>
      </c>
      <c r="H70" s="21" t="s">
        <v>18</v>
      </c>
      <c r="I70" s="23" t="s">
        <v>9</v>
      </c>
      <c r="J70" s="24" t="s">
        <v>5</v>
      </c>
      <c r="K70" s="24" t="s">
        <v>5</v>
      </c>
      <c r="L70" s="24">
        <f t="shared" ref="L70" si="197">IF(AND(ISBLANK(L68),ISBLANK(L69)),"A",IFERROR(+MOD(L69-L68,1),L67))</f>
        <v>0.37500000000000006</v>
      </c>
      <c r="M70" s="24">
        <f t="shared" ref="M70" si="198">IF(AND(ISBLANK(M68),ISBLANK(M69)),"A",IFERROR(+MOD(M69-M68,1),M67))</f>
        <v>0.375</v>
      </c>
      <c r="N70" s="24">
        <f t="shared" ref="N70" si="199">IF(AND(ISBLANK(N68),ISBLANK(N69)),"A",IFERROR(+MOD(N69-N68,1),N67))</f>
        <v>0.375</v>
      </c>
      <c r="O70" s="24">
        <f t="shared" ref="O70" si="200">IF(AND(ISBLANK(O68),ISBLANK(O69)),"A",IFERROR(+MOD(O69-O68,1),O67))</f>
        <v>0.375</v>
      </c>
      <c r="P70" s="24">
        <f t="shared" ref="P70" si="201">IF(AND(ISBLANK(P68),ISBLANK(P69)),"A",IFERROR(+MOD(P69-P68,1),P67))</f>
        <v>0.375</v>
      </c>
      <c r="Q70" s="24">
        <f t="shared" ref="Q70" si="202">IF(AND(ISBLANK(Q68),ISBLANK(Q69)),"A",IFERROR(+MOD(Q69-Q68,1),Q67))</f>
        <v>0.19791666666666663</v>
      </c>
      <c r="R70" s="24" t="s">
        <v>5</v>
      </c>
      <c r="S70" s="24" t="s">
        <v>5</v>
      </c>
      <c r="T70" s="24" t="s">
        <v>5</v>
      </c>
      <c r="U70" s="24">
        <f t="shared" ref="U70" si="203">IF(AND(ISBLANK(U68),ISBLANK(U69)),"A",IFERROR(+MOD(U69-U68,1),U67))</f>
        <v>0.375</v>
      </c>
      <c r="V70" s="24">
        <f t="shared" ref="V70" si="204">IF(AND(ISBLANK(V68),ISBLANK(V69)),"A",IFERROR(+MOD(V69-V68,1),V67))</f>
        <v>0.36458333333333331</v>
      </c>
      <c r="W70" s="24">
        <f t="shared" ref="W70" si="205">IF(AND(ISBLANK(W68),ISBLANK(W69)),"A",IFERROR(+MOD(W69-W68,1),W67))</f>
        <v>0.375</v>
      </c>
      <c r="X70" s="24" t="s">
        <v>5</v>
      </c>
      <c r="Y70" s="24" t="s">
        <v>5</v>
      </c>
      <c r="Z70" s="24" t="s">
        <v>5</v>
      </c>
      <c r="AA70" s="24">
        <f t="shared" ref="AA70" si="206">IF(AND(ISBLANK(AA68),ISBLANK(AA69)),"A",IFERROR(+MOD(AA69-AA68,1),AA67))</f>
        <v>0.375</v>
      </c>
      <c r="AB70" s="24">
        <f t="shared" ref="AB70" si="207">IF(AND(ISBLANK(AB68),ISBLANK(AB69)),"A",IFERROR(+MOD(AB69-AB68,1),AB67))</f>
        <v>0.375</v>
      </c>
      <c r="AC70" s="24">
        <f t="shared" ref="AC70" si="208">IF(AND(ISBLANK(AC68),ISBLANK(AC69)),"A",IFERROR(+MOD(AC69-AC68,1),AC67))</f>
        <v>0.375</v>
      </c>
      <c r="AD70" s="24">
        <f t="shared" ref="AD70" si="209">IF(AND(ISBLANK(AD68),ISBLANK(AD69)),"A",IFERROR(+MOD(AD69-AD68,1),AD67))</f>
        <v>0.375</v>
      </c>
      <c r="AE70" s="24">
        <f t="shared" ref="AE70" si="210">IF(AND(ISBLANK(AE68),ISBLANK(AE69)),"A",IFERROR(+MOD(AE69-AE68,1),AE67))</f>
        <v>0.375</v>
      </c>
      <c r="AF70" s="24" t="s">
        <v>5</v>
      </c>
      <c r="AG70" s="24" t="s">
        <v>5</v>
      </c>
      <c r="AH70" s="24">
        <f t="shared" ref="AH70" si="211">IF(AND(ISBLANK(AH68),ISBLANK(AH69)),"A",IFERROR(+MOD(AH69-AH68,1),AH67))</f>
        <v>0.375</v>
      </c>
      <c r="AI70" s="24">
        <f t="shared" ref="AI70" si="212">IF(AND(ISBLANK(AI68),ISBLANK(AI69)),"A",IFERROR(+MOD(AI69-AI68,1),AI67))</f>
        <v>0.3576388888888889</v>
      </c>
      <c r="AJ70" s="24">
        <f t="shared" ref="AJ70" si="213">IF(AND(ISBLANK(AJ68),ISBLANK(AJ69)),"A",IFERROR(+MOD(AJ69-AJ68,1),AJ67))</f>
        <v>0.375</v>
      </c>
      <c r="AK70" s="24">
        <f t="shared" ref="AK70" si="214">IF(AND(ISBLANK(AK68),ISBLANK(AK69)),"A",IFERROR(+MOD(AK69-AK68,1),AK67))</f>
        <v>0.375</v>
      </c>
      <c r="AL70" s="24">
        <f t="shared" ref="AL70" si="215">IF(AND(ISBLANK(AL68),ISBLANK(AL69)),"A",IFERROR(+MOD(AL69-AL68,1),AL67))</f>
        <v>0.375</v>
      </c>
      <c r="AM70" s="24" t="s">
        <v>5</v>
      </c>
      <c r="AN70" s="17">
        <f>COUNT(F70:AM70)</f>
        <v>20</v>
      </c>
      <c r="AO70" s="21"/>
    </row>
    <row r="71" spans="1:41 16379:16379">
      <c r="A71" s="8" t="s">
        <v>135</v>
      </c>
      <c r="B71" s="12" t="s">
        <v>231</v>
      </c>
      <c r="C71" s="10" t="s">
        <v>68</v>
      </c>
      <c r="D71" s="10" t="s">
        <v>41</v>
      </c>
      <c r="E71" s="10" t="s">
        <v>56</v>
      </c>
      <c r="F71" s="11">
        <v>45879</v>
      </c>
      <c r="G71" s="12" t="s">
        <v>32</v>
      </c>
      <c r="H71" s="12" t="s">
        <v>18</v>
      </c>
      <c r="I71" s="13" t="s">
        <v>4</v>
      </c>
      <c r="J71" s="2" t="s">
        <v>6</v>
      </c>
      <c r="K71" s="2" t="s">
        <v>6</v>
      </c>
      <c r="L71" s="2" t="s">
        <v>6</v>
      </c>
      <c r="M71" s="2" t="s">
        <v>6</v>
      </c>
      <c r="N71" s="2" t="s">
        <v>6</v>
      </c>
      <c r="O71" s="2" t="s">
        <v>6</v>
      </c>
      <c r="P71" s="2" t="s">
        <v>6</v>
      </c>
      <c r="Q71" s="2" t="s">
        <v>6</v>
      </c>
      <c r="R71" s="2" t="s">
        <v>5</v>
      </c>
      <c r="S71" s="2" t="s">
        <v>6</v>
      </c>
      <c r="T71" s="2" t="s">
        <v>5</v>
      </c>
      <c r="U71" s="2" t="s">
        <v>5</v>
      </c>
      <c r="V71" s="2" t="s">
        <v>5</v>
      </c>
      <c r="W71" s="2" t="s">
        <v>5</v>
      </c>
      <c r="X71" s="2" t="s">
        <v>5</v>
      </c>
      <c r="Y71" s="2" t="s">
        <v>5</v>
      </c>
      <c r="Z71" s="2" t="s">
        <v>5</v>
      </c>
      <c r="AA71" s="2" t="s">
        <v>5</v>
      </c>
      <c r="AB71" s="2" t="s">
        <v>5</v>
      </c>
      <c r="AC71" s="2" t="s">
        <v>5</v>
      </c>
      <c r="AD71" s="2" t="s">
        <v>5</v>
      </c>
      <c r="AE71" s="2" t="s">
        <v>5</v>
      </c>
      <c r="AF71" s="2" t="s">
        <v>5</v>
      </c>
      <c r="AG71" s="2" t="s">
        <v>5</v>
      </c>
      <c r="AH71" s="2" t="s">
        <v>5</v>
      </c>
      <c r="AI71" s="2" t="s">
        <v>5</v>
      </c>
      <c r="AJ71" s="2" t="s">
        <v>5</v>
      </c>
      <c r="AK71" s="2" t="s">
        <v>5</v>
      </c>
      <c r="AL71" s="2" t="s">
        <v>5</v>
      </c>
      <c r="AM71" s="2" t="s">
        <v>5</v>
      </c>
      <c r="AN71" s="20"/>
      <c r="AO71" s="12" t="s">
        <v>17</v>
      </c>
    </row>
    <row r="72" spans="1:41 16379:16379">
      <c r="A72" s="1" t="s">
        <v>135</v>
      </c>
      <c r="B72" s="12" t="s">
        <v>231</v>
      </c>
      <c r="C72" s="1" t="s">
        <v>68</v>
      </c>
      <c r="D72" s="1" t="s">
        <v>41</v>
      </c>
      <c r="E72" s="1" t="s">
        <v>56</v>
      </c>
      <c r="F72" s="6">
        <v>45879</v>
      </c>
      <c r="G72" s="1" t="s">
        <v>32</v>
      </c>
      <c r="H72" s="12" t="s">
        <v>18</v>
      </c>
      <c r="I72" s="7" t="s">
        <v>7</v>
      </c>
      <c r="J72" s="2">
        <v>0.375</v>
      </c>
      <c r="K72" s="2">
        <v>0.375</v>
      </c>
      <c r="L72" s="2">
        <v>0.79166666666666663</v>
      </c>
      <c r="M72" s="2">
        <v>0.54166666666666663</v>
      </c>
      <c r="N72" s="2">
        <v>0.375</v>
      </c>
      <c r="O72" s="2">
        <v>0.5</v>
      </c>
      <c r="P72" s="2">
        <v>0.41666666666666669</v>
      </c>
      <c r="Q72" s="2">
        <v>0.375</v>
      </c>
      <c r="R72" s="2" t="s">
        <v>5</v>
      </c>
      <c r="S72" s="2">
        <v>0.375</v>
      </c>
      <c r="T72" s="2" t="s">
        <v>5</v>
      </c>
      <c r="U72" s="2" t="s">
        <v>5</v>
      </c>
      <c r="V72" s="2" t="s">
        <v>5</v>
      </c>
      <c r="W72" s="2" t="s">
        <v>5</v>
      </c>
      <c r="X72" s="2" t="s">
        <v>5</v>
      </c>
      <c r="Y72" s="2" t="s">
        <v>5</v>
      </c>
      <c r="Z72" s="2" t="s">
        <v>5</v>
      </c>
      <c r="AA72" s="2" t="s">
        <v>5</v>
      </c>
      <c r="AB72" s="2" t="s">
        <v>5</v>
      </c>
      <c r="AC72" s="2" t="s">
        <v>5</v>
      </c>
      <c r="AD72" s="2" t="s">
        <v>5</v>
      </c>
      <c r="AE72" s="2" t="s">
        <v>5</v>
      </c>
      <c r="AF72" s="2" t="s">
        <v>5</v>
      </c>
      <c r="AG72" s="2" t="s">
        <v>5</v>
      </c>
      <c r="AH72" s="2" t="s">
        <v>5</v>
      </c>
      <c r="AI72" s="2" t="s">
        <v>5</v>
      </c>
      <c r="AJ72" s="2" t="s">
        <v>5</v>
      </c>
      <c r="AK72" s="2" t="s">
        <v>5</v>
      </c>
      <c r="AL72" s="2" t="s">
        <v>5</v>
      </c>
      <c r="AM72" s="2" t="s">
        <v>5</v>
      </c>
      <c r="AN72" s="20"/>
      <c r="AO72" s="12"/>
    </row>
    <row r="73" spans="1:41 16379:16379">
      <c r="A73" s="1" t="s">
        <v>135</v>
      </c>
      <c r="B73" s="12" t="s">
        <v>231</v>
      </c>
      <c r="C73" s="1" t="s">
        <v>68</v>
      </c>
      <c r="D73" s="1" t="s">
        <v>41</v>
      </c>
      <c r="E73" s="1" t="s">
        <v>56</v>
      </c>
      <c r="F73" s="6">
        <v>45879</v>
      </c>
      <c r="G73" s="1" t="s">
        <v>32</v>
      </c>
      <c r="H73" s="12" t="s">
        <v>18</v>
      </c>
      <c r="I73" s="7" t="s">
        <v>8</v>
      </c>
      <c r="J73" s="2">
        <v>4.1666666666666664E-2</v>
      </c>
      <c r="K73" s="2">
        <v>0.20833333333333334</v>
      </c>
      <c r="L73" s="2">
        <v>0.25</v>
      </c>
      <c r="M73" s="2">
        <v>0.91666666666666663</v>
      </c>
      <c r="N73" s="2">
        <v>0.16805555555555554</v>
      </c>
      <c r="O73" s="2">
        <v>4.1666666666666664E-2</v>
      </c>
      <c r="P73" s="2">
        <v>0.79166666666666663</v>
      </c>
      <c r="Q73" s="2">
        <v>0.16666666666666666</v>
      </c>
      <c r="R73" s="2" t="s">
        <v>5</v>
      </c>
      <c r="S73" s="2">
        <v>0.83333333333333337</v>
      </c>
      <c r="T73" s="2" t="s">
        <v>5</v>
      </c>
      <c r="U73" s="2" t="s">
        <v>5</v>
      </c>
      <c r="V73" s="2" t="s">
        <v>5</v>
      </c>
      <c r="W73" s="2" t="s">
        <v>5</v>
      </c>
      <c r="X73" s="2" t="s">
        <v>5</v>
      </c>
      <c r="Y73" s="2" t="s">
        <v>5</v>
      </c>
      <c r="Z73" s="2" t="s">
        <v>5</v>
      </c>
      <c r="AA73" s="2" t="s">
        <v>5</v>
      </c>
      <c r="AB73" s="2" t="s">
        <v>5</v>
      </c>
      <c r="AC73" s="2" t="s">
        <v>5</v>
      </c>
      <c r="AD73" s="2" t="s">
        <v>5</v>
      </c>
      <c r="AE73" s="2" t="s">
        <v>5</v>
      </c>
      <c r="AF73" s="2" t="s">
        <v>5</v>
      </c>
      <c r="AG73" s="2" t="s">
        <v>5</v>
      </c>
      <c r="AH73" s="2" t="s">
        <v>5</v>
      </c>
      <c r="AI73" s="2" t="s">
        <v>5</v>
      </c>
      <c r="AJ73" s="2" t="s">
        <v>5</v>
      </c>
      <c r="AK73" s="2" t="s">
        <v>5</v>
      </c>
      <c r="AL73" s="2" t="s">
        <v>5</v>
      </c>
      <c r="AM73" s="2" t="s">
        <v>5</v>
      </c>
      <c r="AN73" s="20"/>
      <c r="AO73" s="12"/>
    </row>
    <row r="74" spans="1:41 16379:16379">
      <c r="A74" s="21" t="s">
        <v>135</v>
      </c>
      <c r="B74" s="21" t="s">
        <v>231</v>
      </c>
      <c r="C74" s="21" t="s">
        <v>68</v>
      </c>
      <c r="D74" s="21" t="s">
        <v>41</v>
      </c>
      <c r="E74" s="21" t="s">
        <v>56</v>
      </c>
      <c r="F74" s="22">
        <v>45879</v>
      </c>
      <c r="G74" s="21" t="s">
        <v>32</v>
      </c>
      <c r="H74" s="21" t="s">
        <v>18</v>
      </c>
      <c r="I74" s="23" t="s">
        <v>9</v>
      </c>
      <c r="J74" s="24">
        <f>IF(AND(ISBLANK(J72),ISBLANK(J73)),"A",IFERROR(+MOD(J73-J72,1),J71))</f>
        <v>0.66666666666666674</v>
      </c>
      <c r="K74" s="24">
        <f t="shared" ref="K74" si="216">IF(AND(ISBLANK(K72),ISBLANK(K73)),"A",IFERROR(+MOD(K73-K72,1),K71))</f>
        <v>0.83333333333333337</v>
      </c>
      <c r="L74" s="24">
        <f t="shared" ref="L74" si="217">IF(AND(ISBLANK(L72),ISBLANK(L73)),"A",IFERROR(+MOD(L73-L72,1),L71))</f>
        <v>0.45833333333333337</v>
      </c>
      <c r="M74" s="24">
        <f t="shared" ref="M74" si="218">IF(AND(ISBLANK(M72),ISBLANK(M73)),"A",IFERROR(+MOD(M73-M72,1),M71))</f>
        <v>0.375</v>
      </c>
      <c r="N74" s="24">
        <f t="shared" ref="N74:O74" si="219">IF(AND(ISBLANK(N72),ISBLANK(N73)),"A",IFERROR(+MOD(N73-N72,1),N71))</f>
        <v>0.79305555555555551</v>
      </c>
      <c r="O74" s="24">
        <f t="shared" si="219"/>
        <v>0.54166666666666674</v>
      </c>
      <c r="P74" s="24">
        <f t="shared" ref="P74" si="220">IF(AND(ISBLANK(P72),ISBLANK(P73)),"A",IFERROR(+MOD(P73-P72,1),P71))</f>
        <v>0.37499999999999994</v>
      </c>
      <c r="Q74" s="24">
        <f t="shared" ref="Q74" si="221">IF(AND(ISBLANK(Q72),ISBLANK(Q73)),"A",IFERROR(+MOD(Q73-Q72,1),Q71))</f>
        <v>0.79166666666666663</v>
      </c>
      <c r="R74" s="24" t="s">
        <v>5</v>
      </c>
      <c r="S74" s="24">
        <f t="shared" ref="S74" si="222">IF(AND(ISBLANK(S72),ISBLANK(S73)),"A",IFERROR(+MOD(S73-S72,1),S71))</f>
        <v>0.45833333333333337</v>
      </c>
      <c r="T74" s="24" t="s">
        <v>5</v>
      </c>
      <c r="U74" s="24" t="s">
        <v>5</v>
      </c>
      <c r="V74" s="24" t="s">
        <v>5</v>
      </c>
      <c r="W74" s="24" t="s">
        <v>5</v>
      </c>
      <c r="X74" s="24" t="s">
        <v>5</v>
      </c>
      <c r="Y74" s="24" t="s">
        <v>5</v>
      </c>
      <c r="Z74" s="24" t="s">
        <v>5</v>
      </c>
      <c r="AA74" s="24" t="s">
        <v>5</v>
      </c>
      <c r="AB74" s="24" t="s">
        <v>5</v>
      </c>
      <c r="AC74" s="24" t="s">
        <v>5</v>
      </c>
      <c r="AD74" s="24" t="s">
        <v>5</v>
      </c>
      <c r="AE74" s="24" t="s">
        <v>5</v>
      </c>
      <c r="AF74" s="24" t="s">
        <v>5</v>
      </c>
      <c r="AG74" s="24" t="s">
        <v>5</v>
      </c>
      <c r="AH74" s="24" t="s">
        <v>5</v>
      </c>
      <c r="AI74" s="24" t="s">
        <v>5</v>
      </c>
      <c r="AJ74" s="24" t="s">
        <v>5</v>
      </c>
      <c r="AK74" s="24" t="s">
        <v>5</v>
      </c>
      <c r="AL74" s="24" t="s">
        <v>5</v>
      </c>
      <c r="AM74" s="24" t="s">
        <v>5</v>
      </c>
      <c r="AN74" s="17">
        <f>COUNT(F74:AM74)</f>
        <v>10</v>
      </c>
      <c r="AO74" s="21"/>
    </row>
    <row r="75" spans="1:41 16379:16379">
      <c r="A75" s="8" t="s">
        <v>134</v>
      </c>
      <c r="B75" s="12" t="s">
        <v>234</v>
      </c>
      <c r="C75" s="10" t="s">
        <v>54</v>
      </c>
      <c r="D75" s="10" t="s">
        <v>42</v>
      </c>
      <c r="E75" s="10" t="s">
        <v>55</v>
      </c>
      <c r="F75" s="11">
        <v>45880</v>
      </c>
      <c r="G75" s="12" t="s">
        <v>32</v>
      </c>
      <c r="H75" s="12" t="s">
        <v>18</v>
      </c>
      <c r="I75" s="13" t="s">
        <v>4</v>
      </c>
      <c r="J75" s="2" t="s">
        <v>6</v>
      </c>
      <c r="K75" s="2" t="s">
        <v>5</v>
      </c>
      <c r="L75" s="2" t="s">
        <v>6</v>
      </c>
      <c r="M75" s="2" t="s">
        <v>6</v>
      </c>
      <c r="N75" s="2" t="s">
        <v>6</v>
      </c>
      <c r="O75" s="2" t="s">
        <v>6</v>
      </c>
      <c r="P75" s="2" t="s">
        <v>6</v>
      </c>
      <c r="Q75" s="2" t="s">
        <v>6</v>
      </c>
      <c r="R75" s="2" t="s">
        <v>5</v>
      </c>
      <c r="S75" s="2" t="s">
        <v>6</v>
      </c>
      <c r="T75" s="2" t="s">
        <v>5</v>
      </c>
      <c r="U75" s="2" t="s">
        <v>6</v>
      </c>
      <c r="V75" s="2" t="s">
        <v>6</v>
      </c>
      <c r="W75" s="2" t="s">
        <v>6</v>
      </c>
      <c r="X75" s="2" t="s">
        <v>6</v>
      </c>
      <c r="Y75" s="2" t="s">
        <v>5</v>
      </c>
      <c r="Z75" s="2" t="s">
        <v>6</v>
      </c>
      <c r="AA75" s="2" t="s">
        <v>6</v>
      </c>
      <c r="AB75" s="2" t="s">
        <v>6</v>
      </c>
      <c r="AC75" s="2" t="s">
        <v>6</v>
      </c>
      <c r="AD75" s="2" t="s">
        <v>5</v>
      </c>
      <c r="AE75" s="2" t="s">
        <v>6</v>
      </c>
      <c r="AF75" s="2" t="s">
        <v>5</v>
      </c>
      <c r="AG75" s="2" t="s">
        <v>6</v>
      </c>
      <c r="AH75" s="2" t="s">
        <v>6</v>
      </c>
      <c r="AI75" s="2" t="s">
        <v>6</v>
      </c>
      <c r="AJ75" s="2" t="s">
        <v>6</v>
      </c>
      <c r="AK75" s="2" t="s">
        <v>6</v>
      </c>
      <c r="AL75" s="2" t="s">
        <v>6</v>
      </c>
      <c r="AM75" s="2" t="s">
        <v>5</v>
      </c>
      <c r="AN75" s="20"/>
      <c r="AO75" s="12" t="s">
        <v>18</v>
      </c>
      <c r="XEY75" s="2" t="s">
        <v>6</v>
      </c>
    </row>
    <row r="76" spans="1:41 16379:16379">
      <c r="A76" s="1" t="s">
        <v>134</v>
      </c>
      <c r="B76" s="12" t="s">
        <v>234</v>
      </c>
      <c r="C76" s="1" t="s">
        <v>54</v>
      </c>
      <c r="D76" s="1" t="s">
        <v>42</v>
      </c>
      <c r="E76" s="1" t="s">
        <v>55</v>
      </c>
      <c r="F76" s="6">
        <v>45880</v>
      </c>
      <c r="G76" s="1" t="s">
        <v>32</v>
      </c>
      <c r="H76" s="12" t="s">
        <v>18</v>
      </c>
      <c r="I76" s="7" t="s">
        <v>7</v>
      </c>
      <c r="J76" s="2">
        <v>0.375</v>
      </c>
      <c r="K76" s="2" t="s">
        <v>5</v>
      </c>
      <c r="L76" s="2">
        <v>0.375</v>
      </c>
      <c r="M76" s="2">
        <v>0.375</v>
      </c>
      <c r="N76" s="2">
        <v>0.375</v>
      </c>
      <c r="O76" s="2">
        <v>0.375</v>
      </c>
      <c r="P76" s="2">
        <v>0.375</v>
      </c>
      <c r="Q76" s="2">
        <v>0.375</v>
      </c>
      <c r="R76" s="2" t="s">
        <v>5</v>
      </c>
      <c r="S76" s="2">
        <v>0.375</v>
      </c>
      <c r="T76" s="2" t="s">
        <v>5</v>
      </c>
      <c r="U76" s="2">
        <v>0.375</v>
      </c>
      <c r="V76" s="2">
        <v>0.375</v>
      </c>
      <c r="W76" s="2">
        <v>0.375</v>
      </c>
      <c r="X76" s="2">
        <v>0.375</v>
      </c>
      <c r="Y76" s="2" t="s">
        <v>5</v>
      </c>
      <c r="Z76" s="2">
        <v>0.375</v>
      </c>
      <c r="AA76" s="2">
        <v>0.375</v>
      </c>
      <c r="AB76" s="2">
        <v>0.375</v>
      </c>
      <c r="AC76" s="2">
        <v>0.375</v>
      </c>
      <c r="AD76" s="2" t="s">
        <v>5</v>
      </c>
      <c r="AE76" s="2">
        <v>0.375</v>
      </c>
      <c r="AF76" s="2" t="s">
        <v>5</v>
      </c>
      <c r="AG76" s="2">
        <v>0.375</v>
      </c>
      <c r="AH76" s="2">
        <v>0.375</v>
      </c>
      <c r="AI76" s="2">
        <v>0.375</v>
      </c>
      <c r="AJ76" s="2">
        <v>0.375</v>
      </c>
      <c r="AK76" s="2">
        <v>0.375</v>
      </c>
      <c r="AL76" s="2">
        <v>0.375</v>
      </c>
      <c r="AM76" s="2" t="s">
        <v>5</v>
      </c>
      <c r="AN76" s="20"/>
      <c r="AO76" s="12"/>
      <c r="XEY76" s="2">
        <v>0.375</v>
      </c>
    </row>
    <row r="77" spans="1:41 16379:16379">
      <c r="A77" s="1" t="s">
        <v>134</v>
      </c>
      <c r="B77" s="12" t="s">
        <v>234</v>
      </c>
      <c r="C77" s="1" t="s">
        <v>54</v>
      </c>
      <c r="D77" s="1" t="s">
        <v>42</v>
      </c>
      <c r="E77" s="1" t="s">
        <v>55</v>
      </c>
      <c r="F77" s="6">
        <v>45880</v>
      </c>
      <c r="G77" s="1" t="s">
        <v>32</v>
      </c>
      <c r="H77" s="12" t="s">
        <v>18</v>
      </c>
      <c r="I77" s="7" t="s">
        <v>8</v>
      </c>
      <c r="J77" s="2">
        <v>0.75</v>
      </c>
      <c r="K77" s="2" t="s">
        <v>5</v>
      </c>
      <c r="L77" s="2">
        <v>0.75</v>
      </c>
      <c r="M77" s="2">
        <v>0.75</v>
      </c>
      <c r="N77" s="2">
        <v>0.75</v>
      </c>
      <c r="O77" s="2">
        <v>0.75</v>
      </c>
      <c r="P77" s="2">
        <v>0.75</v>
      </c>
      <c r="Q77" s="2">
        <v>0.75</v>
      </c>
      <c r="R77" s="2" t="s">
        <v>5</v>
      </c>
      <c r="S77" s="2">
        <v>0.91666666666666663</v>
      </c>
      <c r="T77" s="2" t="s">
        <v>5</v>
      </c>
      <c r="U77" s="2">
        <v>0.97569444444444453</v>
      </c>
      <c r="V77" s="2">
        <v>0.75</v>
      </c>
      <c r="W77" s="2">
        <v>0.75</v>
      </c>
      <c r="X77" s="2">
        <v>0.75</v>
      </c>
      <c r="Y77" s="2" t="s">
        <v>5</v>
      </c>
      <c r="Z77" s="2">
        <v>0.75</v>
      </c>
      <c r="AA77" s="2">
        <v>0.75</v>
      </c>
      <c r="AB77" s="2">
        <v>0.84722222222222221</v>
      </c>
      <c r="AC77" s="2">
        <v>0.84027777777777779</v>
      </c>
      <c r="AD77" s="2" t="s">
        <v>5</v>
      </c>
      <c r="AE77" s="2">
        <v>0.75</v>
      </c>
      <c r="AF77" s="2" t="s">
        <v>5</v>
      </c>
      <c r="AG77" s="2">
        <v>0.75</v>
      </c>
      <c r="AH77" s="2">
        <v>0.75</v>
      </c>
      <c r="AI77" s="2">
        <v>0.75</v>
      </c>
      <c r="AJ77" s="2">
        <v>0.75</v>
      </c>
      <c r="AK77" s="2">
        <v>0.75</v>
      </c>
      <c r="AL77" s="2">
        <v>0.75</v>
      </c>
      <c r="AM77" s="2" t="s">
        <v>5</v>
      </c>
      <c r="AN77" s="20"/>
      <c r="AO77" s="12"/>
    </row>
    <row r="78" spans="1:41 16379:16379">
      <c r="A78" s="21" t="s">
        <v>134</v>
      </c>
      <c r="B78" s="21" t="s">
        <v>234</v>
      </c>
      <c r="C78" s="21" t="s">
        <v>54</v>
      </c>
      <c r="D78" s="21" t="s">
        <v>42</v>
      </c>
      <c r="E78" s="21" t="s">
        <v>55</v>
      </c>
      <c r="F78" s="22">
        <v>45880</v>
      </c>
      <c r="G78" s="21" t="s">
        <v>32</v>
      </c>
      <c r="H78" s="21" t="s">
        <v>18</v>
      </c>
      <c r="I78" s="23" t="s">
        <v>9</v>
      </c>
      <c r="J78" s="24">
        <f>IF(AND(ISBLANK(J76),ISBLANK(J77)),"A",IFERROR(+MOD(J77-J76,1),J75))</f>
        <v>0.375</v>
      </c>
      <c r="K78" s="24" t="s">
        <v>5</v>
      </c>
      <c r="L78" s="24">
        <f t="shared" ref="L78" si="223">IF(AND(ISBLANK(L76),ISBLANK(L77)),"A",IFERROR(+MOD(L77-L76,1),L75))</f>
        <v>0.375</v>
      </c>
      <c r="M78" s="24">
        <f t="shared" ref="M78" si="224">IF(AND(ISBLANK(M76),ISBLANK(M77)),"A",IFERROR(+MOD(M77-M76,1),M75))</f>
        <v>0.375</v>
      </c>
      <c r="N78" s="24">
        <f t="shared" ref="N78" si="225">IF(AND(ISBLANK(N76),ISBLANK(N77)),"A",IFERROR(+MOD(N77-N76,1),N75))</f>
        <v>0.375</v>
      </c>
      <c r="O78" s="24">
        <f t="shared" ref="O78" si="226">IF(AND(ISBLANK(O76),ISBLANK(O77)),"A",IFERROR(+MOD(O77-O76,1),O75))</f>
        <v>0.375</v>
      </c>
      <c r="P78" s="24">
        <f t="shared" ref="P78" si="227">IF(AND(ISBLANK(P76),ISBLANK(P77)),"A",IFERROR(+MOD(P77-P76,1),P75))</f>
        <v>0.375</v>
      </c>
      <c r="Q78" s="24">
        <f t="shared" ref="Q78" si="228">IF(AND(ISBLANK(Q76),ISBLANK(Q77)),"A",IFERROR(+MOD(Q77-Q76,1),Q75))</f>
        <v>0.375</v>
      </c>
      <c r="R78" s="24" t="s">
        <v>5</v>
      </c>
      <c r="S78" s="24">
        <f t="shared" ref="S78" si="229">IF(AND(ISBLANK(S76),ISBLANK(S77)),"A",IFERROR(+MOD(S77-S76,1),S75))</f>
        <v>0.54166666666666663</v>
      </c>
      <c r="T78" s="24" t="s">
        <v>5</v>
      </c>
      <c r="U78" s="24">
        <f t="shared" ref="U78" si="230">IF(AND(ISBLANK(U76),ISBLANK(U77)),"A",IFERROR(+MOD(U77-U76,1),U75))</f>
        <v>0.60069444444444453</v>
      </c>
      <c r="V78" s="24">
        <f t="shared" ref="V78" si="231">IF(AND(ISBLANK(V76),ISBLANK(V77)),"A",IFERROR(+MOD(V77-V76,1),V75))</f>
        <v>0.375</v>
      </c>
      <c r="W78" s="24">
        <f t="shared" ref="W78" si="232">IF(AND(ISBLANK(W76),ISBLANK(W77)),"A",IFERROR(+MOD(W77-W76,1),W75))</f>
        <v>0.375</v>
      </c>
      <c r="X78" s="24">
        <f t="shared" ref="X78" si="233">IF(AND(ISBLANK(X76),ISBLANK(X77)),"A",IFERROR(+MOD(X77-X76,1),X75))</f>
        <v>0.375</v>
      </c>
      <c r="Y78" s="24" t="s">
        <v>5</v>
      </c>
      <c r="Z78" s="24">
        <f t="shared" ref="Z78" si="234">IF(AND(ISBLANK(Z76),ISBLANK(Z77)),"A",IFERROR(+MOD(Z77-Z76,1),Z75))</f>
        <v>0.375</v>
      </c>
      <c r="AA78" s="24">
        <f t="shared" ref="AA78" si="235">IF(AND(ISBLANK(AA76),ISBLANK(AA77)),"A",IFERROR(+MOD(AA77-AA76,1),AA75))</f>
        <v>0.375</v>
      </c>
      <c r="AB78" s="24">
        <f t="shared" ref="AB78" si="236">IF(AND(ISBLANK(AB76),ISBLANK(AB77)),"A",IFERROR(+MOD(AB77-AB76,1),AB75))</f>
        <v>0.47222222222222221</v>
      </c>
      <c r="AC78" s="24">
        <f t="shared" ref="AC78" si="237">IF(AND(ISBLANK(AC76),ISBLANK(AC77)),"A",IFERROR(+MOD(AC77-AC76,1),AC75))</f>
        <v>0.46527777777777779</v>
      </c>
      <c r="AD78" s="24" t="s">
        <v>5</v>
      </c>
      <c r="AE78" s="24">
        <f t="shared" ref="AE78" si="238">IF(AND(ISBLANK(AE76),ISBLANK(AE77)),"A",IFERROR(+MOD(AE77-AE76,1),AE75))</f>
        <v>0.375</v>
      </c>
      <c r="AF78" s="24" t="s">
        <v>5</v>
      </c>
      <c r="AG78" s="24">
        <f t="shared" ref="AG78" si="239">IF(AND(ISBLANK(AG76),ISBLANK(AG77)),"A",IFERROR(+MOD(AG77-AG76,1),AG75))</f>
        <v>0.375</v>
      </c>
      <c r="AH78" s="24">
        <f t="shared" ref="AH78" si="240">IF(AND(ISBLANK(AH76),ISBLANK(AH77)),"A",IFERROR(+MOD(AH77-AH76,1),AH75))</f>
        <v>0.375</v>
      </c>
      <c r="AI78" s="24">
        <f t="shared" ref="AI78" si="241">IF(AND(ISBLANK(AI76),ISBLANK(AI77)),"A",IFERROR(+MOD(AI77-AI76,1),AI75))</f>
        <v>0.375</v>
      </c>
      <c r="AJ78" s="24">
        <f t="shared" ref="AJ78" si="242">IF(AND(ISBLANK(AJ76),ISBLANK(AJ77)),"A",IFERROR(+MOD(AJ77-AJ76,1),AJ75))</f>
        <v>0.375</v>
      </c>
      <c r="AK78" s="24">
        <f t="shared" ref="AK78" si="243">IF(AND(ISBLANK(AK76),ISBLANK(AK77)),"A",IFERROR(+MOD(AK77-AK76,1),AK75))</f>
        <v>0.375</v>
      </c>
      <c r="AL78" s="24">
        <f t="shared" ref="AL78" si="244">IF(AND(ISBLANK(AL76),ISBLANK(AL77)),"A",IFERROR(+MOD(AL77-AL76,1),AL75))</f>
        <v>0.375</v>
      </c>
      <c r="AM78" s="24" t="s">
        <v>5</v>
      </c>
      <c r="AN78" s="17">
        <f>COUNT(F78:AM78)</f>
        <v>24</v>
      </c>
      <c r="AO78" s="21"/>
    </row>
    <row r="79" spans="1:41 16379:16379">
      <c r="A79" s="8" t="s">
        <v>130</v>
      </c>
      <c r="B79" s="12" t="s">
        <v>235</v>
      </c>
      <c r="C79" s="10" t="s">
        <v>154</v>
      </c>
      <c r="D79" s="10" t="s">
        <v>42</v>
      </c>
      <c r="E79" s="10" t="s">
        <v>147</v>
      </c>
      <c r="F79" s="11">
        <v>45881</v>
      </c>
      <c r="G79" s="12" t="s">
        <v>32</v>
      </c>
      <c r="H79" s="12" t="s">
        <v>18</v>
      </c>
      <c r="I79" s="13" t="s">
        <v>4</v>
      </c>
      <c r="J79" s="2" t="s">
        <v>6</v>
      </c>
      <c r="K79" s="2" t="s">
        <v>5</v>
      </c>
      <c r="L79" s="2" t="s">
        <v>6</v>
      </c>
      <c r="M79" s="2" t="s">
        <v>6</v>
      </c>
      <c r="N79" s="2" t="s">
        <v>6</v>
      </c>
      <c r="O79" s="2" t="s">
        <v>6</v>
      </c>
      <c r="P79" s="2" t="s">
        <v>6</v>
      </c>
      <c r="Q79" s="2" t="s">
        <v>6</v>
      </c>
      <c r="R79" s="2" t="s">
        <v>5</v>
      </c>
      <c r="S79" s="2" t="s">
        <v>6</v>
      </c>
      <c r="T79" s="2" t="s">
        <v>6</v>
      </c>
      <c r="U79" s="2" t="s">
        <v>6</v>
      </c>
      <c r="V79" s="2" t="s">
        <v>6</v>
      </c>
      <c r="W79" s="2" t="s">
        <v>6</v>
      </c>
      <c r="X79" s="2" t="s">
        <v>6</v>
      </c>
      <c r="Y79" s="2" t="s">
        <v>6</v>
      </c>
      <c r="Z79" s="2" t="s">
        <v>6</v>
      </c>
      <c r="AA79" s="2" t="s">
        <v>6</v>
      </c>
      <c r="AB79" s="2" t="s">
        <v>6</v>
      </c>
      <c r="AC79" s="2" t="s">
        <v>6</v>
      </c>
      <c r="AD79" s="2" t="s">
        <v>6</v>
      </c>
      <c r="AE79" s="2" t="s">
        <v>6</v>
      </c>
      <c r="AF79" s="2" t="s">
        <v>5</v>
      </c>
      <c r="AG79" s="2" t="s">
        <v>6</v>
      </c>
      <c r="AH79" s="2" t="s">
        <v>5</v>
      </c>
      <c r="AI79" s="2" t="s">
        <v>6</v>
      </c>
      <c r="AJ79" s="2" t="s">
        <v>6</v>
      </c>
      <c r="AK79" s="2" t="s">
        <v>6</v>
      </c>
      <c r="AL79" s="2" t="s">
        <v>6</v>
      </c>
      <c r="AM79" s="2" t="s">
        <v>5</v>
      </c>
      <c r="AN79" s="20"/>
      <c r="AO79" s="12" t="s">
        <v>18</v>
      </c>
    </row>
    <row r="80" spans="1:41 16379:16379">
      <c r="A80" s="1" t="s">
        <v>130</v>
      </c>
      <c r="B80" s="12" t="s">
        <v>235</v>
      </c>
      <c r="C80" s="1" t="s">
        <v>154</v>
      </c>
      <c r="D80" s="1" t="s">
        <v>42</v>
      </c>
      <c r="E80" s="1" t="s">
        <v>147</v>
      </c>
      <c r="F80" s="6">
        <v>45881</v>
      </c>
      <c r="G80" s="1" t="s">
        <v>32</v>
      </c>
      <c r="H80" s="12" t="s">
        <v>18</v>
      </c>
      <c r="I80" s="7" t="s">
        <v>7</v>
      </c>
      <c r="J80" s="2">
        <v>0.375</v>
      </c>
      <c r="K80" s="2" t="s">
        <v>5</v>
      </c>
      <c r="L80" s="2">
        <v>0.375</v>
      </c>
      <c r="M80" s="2">
        <v>0.375</v>
      </c>
      <c r="N80" s="2">
        <v>0.375</v>
      </c>
      <c r="O80" s="2">
        <v>0.375</v>
      </c>
      <c r="P80" s="2">
        <v>0.375</v>
      </c>
      <c r="Q80" s="2">
        <v>0.375</v>
      </c>
      <c r="R80" s="2" t="s">
        <v>5</v>
      </c>
      <c r="S80" s="2">
        <v>0.375</v>
      </c>
      <c r="T80" s="2">
        <v>0.375</v>
      </c>
      <c r="U80" s="2">
        <v>0.375</v>
      </c>
      <c r="V80" s="2">
        <v>0.38541666666666669</v>
      </c>
      <c r="W80" s="2">
        <v>0.375</v>
      </c>
      <c r="X80" s="2">
        <v>0.41666666666666669</v>
      </c>
      <c r="Y80" s="2">
        <v>0.42708333333333331</v>
      </c>
      <c r="Z80" s="2">
        <v>0.43124999999999997</v>
      </c>
      <c r="AA80" s="2">
        <v>0.375</v>
      </c>
      <c r="AB80" s="2">
        <v>0.375</v>
      </c>
      <c r="AC80" s="2">
        <v>0.375</v>
      </c>
      <c r="AD80" s="2">
        <v>0.375</v>
      </c>
      <c r="AE80" s="2">
        <v>0.3923611111111111</v>
      </c>
      <c r="AF80" s="2" t="s">
        <v>5</v>
      </c>
      <c r="AG80" s="2">
        <v>0.40625</v>
      </c>
      <c r="AH80" s="2" t="s">
        <v>5</v>
      </c>
      <c r="AI80" s="2">
        <v>0.375</v>
      </c>
      <c r="AJ80" s="2">
        <v>0.375</v>
      </c>
      <c r="AK80" s="2">
        <v>0.40625</v>
      </c>
      <c r="AL80" s="2">
        <v>0.38541666666666669</v>
      </c>
      <c r="AM80" s="2" t="s">
        <v>5</v>
      </c>
      <c r="AN80" s="20"/>
      <c r="AO80" s="12"/>
    </row>
    <row r="81" spans="1:41">
      <c r="A81" s="1" t="s">
        <v>130</v>
      </c>
      <c r="B81" s="12" t="s">
        <v>235</v>
      </c>
      <c r="C81" s="1" t="s">
        <v>154</v>
      </c>
      <c r="D81" s="1" t="s">
        <v>42</v>
      </c>
      <c r="E81" s="1" t="s">
        <v>147</v>
      </c>
      <c r="F81" s="6">
        <v>45881</v>
      </c>
      <c r="G81" s="1" t="s">
        <v>32</v>
      </c>
      <c r="H81" s="12" t="s">
        <v>18</v>
      </c>
      <c r="I81" s="7" t="s">
        <v>8</v>
      </c>
      <c r="J81" s="2">
        <v>0.75</v>
      </c>
      <c r="K81" s="2" t="s">
        <v>5</v>
      </c>
      <c r="L81" s="2">
        <v>0.88888888888888884</v>
      </c>
      <c r="M81" s="2">
        <v>0.87847222222222221</v>
      </c>
      <c r="N81" s="2">
        <v>0.75</v>
      </c>
      <c r="O81" s="2">
        <v>1</v>
      </c>
      <c r="P81" s="2">
        <v>0.79166666666666663</v>
      </c>
      <c r="Q81" s="2">
        <v>0.91666666666666663</v>
      </c>
      <c r="R81" s="2" t="s">
        <v>5</v>
      </c>
      <c r="S81" s="2">
        <v>0.79166666666666663</v>
      </c>
      <c r="T81" s="2">
        <v>1.0034722222222221</v>
      </c>
      <c r="U81" s="2">
        <v>0.91666666666666663</v>
      </c>
      <c r="V81" s="2">
        <v>0.83333333333333337</v>
      </c>
      <c r="W81" s="2">
        <v>0.95833333333333337</v>
      </c>
      <c r="X81" s="2">
        <v>4.1666666666666664E-2</v>
      </c>
      <c r="Y81" s="2">
        <v>0.77083333333333337</v>
      </c>
      <c r="Z81" s="2">
        <v>0.75</v>
      </c>
      <c r="AA81" s="2">
        <v>0.875</v>
      </c>
      <c r="AB81" s="2">
        <v>0.75</v>
      </c>
      <c r="AC81" s="2">
        <v>0.88194444444444453</v>
      </c>
      <c r="AD81" s="2">
        <v>6.25E-2</v>
      </c>
      <c r="AE81" s="2">
        <v>6.25E-2</v>
      </c>
      <c r="AF81" s="2" t="s">
        <v>5</v>
      </c>
      <c r="AG81" s="2">
        <v>0.67708333333333337</v>
      </c>
      <c r="AH81" s="2" t="s">
        <v>5</v>
      </c>
      <c r="AI81" s="2">
        <v>7.8472222222222221E-2</v>
      </c>
      <c r="AJ81" s="2">
        <v>0.95833333333333337</v>
      </c>
      <c r="AK81" s="2">
        <v>0.11458333333333333</v>
      </c>
      <c r="AL81" s="2">
        <v>0.21180555555555555</v>
      </c>
      <c r="AM81" s="2" t="s">
        <v>5</v>
      </c>
      <c r="AN81" s="20"/>
      <c r="AO81" s="12"/>
    </row>
    <row r="82" spans="1:41">
      <c r="A82" s="21" t="s">
        <v>130</v>
      </c>
      <c r="B82" s="21" t="s">
        <v>235</v>
      </c>
      <c r="C82" s="21" t="s">
        <v>154</v>
      </c>
      <c r="D82" s="21" t="s">
        <v>42</v>
      </c>
      <c r="E82" s="21" t="s">
        <v>147</v>
      </c>
      <c r="F82" s="22">
        <v>45881</v>
      </c>
      <c r="G82" s="21" t="s">
        <v>32</v>
      </c>
      <c r="H82" s="21" t="s">
        <v>18</v>
      </c>
      <c r="I82" s="23" t="s">
        <v>9</v>
      </c>
      <c r="J82" s="24">
        <f t="shared" ref="J82" si="245">IF(AND(ISBLANK(J80),ISBLANK(J81)),"A",IFERROR(+MOD(J81-J80,1),J79))</f>
        <v>0.375</v>
      </c>
      <c r="K82" s="24" t="s">
        <v>5</v>
      </c>
      <c r="L82" s="24">
        <f t="shared" ref="L82" si="246">IF(AND(ISBLANK(L80),ISBLANK(L81)),"A",IFERROR(+MOD(L81-L80,1),L79))</f>
        <v>0.51388888888888884</v>
      </c>
      <c r="M82" s="24">
        <f t="shared" ref="M82" si="247">IF(AND(ISBLANK(M80),ISBLANK(M81)),"A",IFERROR(+MOD(M81-M80,1),M79))</f>
        <v>0.50347222222222221</v>
      </c>
      <c r="N82" s="24">
        <f t="shared" ref="N82" si="248">IF(AND(ISBLANK(N80),ISBLANK(N81)),"A",IFERROR(+MOD(N81-N80,1),N79))</f>
        <v>0.375</v>
      </c>
      <c r="O82" s="24">
        <f t="shared" ref="O82" si="249">IF(AND(ISBLANK(O80),ISBLANK(O81)),"A",IFERROR(+MOD(O81-O80,1),O79))</f>
        <v>0.625</v>
      </c>
      <c r="P82" s="24">
        <f t="shared" ref="P82:Q82" si="250">IF(AND(ISBLANK(P80),ISBLANK(P81)),"A",IFERROR(+MOD(P81-P80,1),P79))</f>
        <v>0.41666666666666663</v>
      </c>
      <c r="Q82" s="24">
        <f t="shared" si="250"/>
        <v>0.54166666666666663</v>
      </c>
      <c r="R82" s="24" t="s">
        <v>5</v>
      </c>
      <c r="S82" s="24">
        <f t="shared" ref="S82" si="251">IF(AND(ISBLANK(S80),ISBLANK(S81)),"A",IFERROR(+MOD(S81-S80,1),S79))</f>
        <v>0.41666666666666663</v>
      </c>
      <c r="T82" s="24">
        <f t="shared" ref="T82" si="252">IF(AND(ISBLANK(T80),ISBLANK(T81)),"A",IFERROR(+MOD(T81-T80,1),T79))</f>
        <v>0.6284722222222221</v>
      </c>
      <c r="U82" s="24">
        <f t="shared" ref="U82" si="253">IF(AND(ISBLANK(U80),ISBLANK(U81)),"A",IFERROR(+MOD(U81-U80,1),U79))</f>
        <v>0.54166666666666663</v>
      </c>
      <c r="V82" s="24">
        <f t="shared" ref="V82" si="254">IF(AND(ISBLANK(V80),ISBLANK(V81)),"A",IFERROR(+MOD(V81-V80,1),V79))</f>
        <v>0.44791666666666669</v>
      </c>
      <c r="W82" s="24">
        <f t="shared" ref="W82" si="255">IF(AND(ISBLANK(W80),ISBLANK(W81)),"A",IFERROR(+MOD(W81-W80,1),W79))</f>
        <v>0.58333333333333337</v>
      </c>
      <c r="X82" s="24">
        <f t="shared" ref="X82" si="256">IF(AND(ISBLANK(X80),ISBLANK(X81)),"A",IFERROR(+MOD(X81-X80,1),X79))</f>
        <v>0.625</v>
      </c>
      <c r="Y82" s="24">
        <f t="shared" ref="Y82" si="257">IF(AND(ISBLANK(Y80),ISBLANK(Y81)),"A",IFERROR(+MOD(Y81-Y80,1),Y79))</f>
        <v>0.34375000000000006</v>
      </c>
      <c r="Z82" s="24">
        <f t="shared" ref="Z82" si="258">IF(AND(ISBLANK(Z80),ISBLANK(Z81)),"A",IFERROR(+MOD(Z81-Z80,1),Z79))</f>
        <v>0.31875000000000003</v>
      </c>
      <c r="AA82" s="24">
        <f t="shared" ref="AA82" si="259">IF(AND(ISBLANK(AA80),ISBLANK(AA81)),"A",IFERROR(+MOD(AA81-AA80,1),AA79))</f>
        <v>0.5</v>
      </c>
      <c r="AB82" s="24">
        <f t="shared" ref="AB82" si="260">IF(AND(ISBLANK(AB80),ISBLANK(AB81)),"A",IFERROR(+MOD(AB81-AB80,1),AB79))</f>
        <v>0.375</v>
      </c>
      <c r="AC82" s="24">
        <f t="shared" ref="AC82" si="261">IF(AND(ISBLANK(AC80),ISBLANK(AC81)),"A",IFERROR(+MOD(AC81-AC80,1),AC79))</f>
        <v>0.50694444444444453</v>
      </c>
      <c r="AD82" s="24">
        <f t="shared" ref="AD82" si="262">IF(AND(ISBLANK(AD80),ISBLANK(AD81)),"A",IFERROR(+MOD(AD81-AD80,1),AD79))</f>
        <v>0.6875</v>
      </c>
      <c r="AE82" s="24">
        <f t="shared" ref="AE82" si="263">IF(AND(ISBLANK(AE80),ISBLANK(AE81)),"A",IFERROR(+MOD(AE81-AE80,1),AE79))</f>
        <v>0.67013888888888884</v>
      </c>
      <c r="AF82" s="24" t="s">
        <v>5</v>
      </c>
      <c r="AG82" s="24">
        <f t="shared" ref="AG82" si="264">IF(AND(ISBLANK(AG80),ISBLANK(AG81)),"A",IFERROR(+MOD(AG81-AG80,1),AG79))</f>
        <v>0.27083333333333337</v>
      </c>
      <c r="AH82" s="24" t="s">
        <v>5</v>
      </c>
      <c r="AI82" s="24">
        <f t="shared" ref="AI82" si="265">IF(AND(ISBLANK(AI80),ISBLANK(AI81)),"A",IFERROR(+MOD(AI81-AI80,1),AI79))</f>
        <v>0.70347222222222228</v>
      </c>
      <c r="AJ82" s="24">
        <f t="shared" ref="AJ82" si="266">IF(AND(ISBLANK(AJ80),ISBLANK(AJ81)),"A",IFERROR(+MOD(AJ81-AJ80,1),AJ79))</f>
        <v>0.58333333333333337</v>
      </c>
      <c r="AK82" s="24">
        <f t="shared" ref="AK82" si="267">IF(AND(ISBLANK(AK80),ISBLANK(AK81)),"A",IFERROR(+MOD(AK81-AK80,1),AK79))</f>
        <v>0.70833333333333326</v>
      </c>
      <c r="AL82" s="24">
        <f t="shared" ref="AL82" si="268">IF(AND(ISBLANK(AL80),ISBLANK(AL81)),"A",IFERROR(+MOD(AL81-AL80,1),AL79))</f>
        <v>0.82638888888888884</v>
      </c>
      <c r="AM82" s="24" t="s">
        <v>5</v>
      </c>
      <c r="AN82" s="17">
        <f>COUNT(F82:AM82)</f>
        <v>26</v>
      </c>
      <c r="AO82" s="21"/>
    </row>
    <row r="83" spans="1:41">
      <c r="A83" s="8" t="s">
        <v>131</v>
      </c>
      <c r="B83" s="12" t="s">
        <v>235</v>
      </c>
      <c r="C83" s="10" t="s">
        <v>49</v>
      </c>
      <c r="D83" s="10" t="s">
        <v>42</v>
      </c>
      <c r="E83" s="10" t="s">
        <v>50</v>
      </c>
      <c r="F83" s="11">
        <v>45881</v>
      </c>
      <c r="G83" s="12" t="s">
        <v>32</v>
      </c>
      <c r="H83" s="12" t="s">
        <v>18</v>
      </c>
      <c r="I83" s="13" t="s">
        <v>4</v>
      </c>
      <c r="J83" s="2" t="s">
        <v>5</v>
      </c>
      <c r="K83" s="2" t="s">
        <v>5</v>
      </c>
      <c r="L83" s="2" t="s">
        <v>6</v>
      </c>
      <c r="M83" s="2" t="s">
        <v>6</v>
      </c>
      <c r="N83" s="2" t="s">
        <v>6</v>
      </c>
      <c r="O83" s="2" t="s">
        <v>5</v>
      </c>
      <c r="P83" s="2" t="s">
        <v>6</v>
      </c>
      <c r="Q83" s="2" t="s">
        <v>6</v>
      </c>
      <c r="R83" s="2" t="s">
        <v>5</v>
      </c>
      <c r="S83" s="2" t="s">
        <v>5</v>
      </c>
      <c r="T83" s="2" t="s">
        <v>6</v>
      </c>
      <c r="U83" s="2" t="s">
        <v>5</v>
      </c>
      <c r="V83" s="2" t="s">
        <v>6</v>
      </c>
      <c r="W83" s="2" t="s">
        <v>199</v>
      </c>
      <c r="X83" s="2" t="s">
        <v>6</v>
      </c>
      <c r="Y83" s="2" t="s">
        <v>5</v>
      </c>
      <c r="Z83" s="2" t="s">
        <v>6</v>
      </c>
      <c r="AA83" s="2" t="s">
        <v>6</v>
      </c>
      <c r="AB83" s="2" t="s">
        <v>6</v>
      </c>
      <c r="AC83" s="2" t="s">
        <v>6</v>
      </c>
      <c r="AD83" s="2" t="s">
        <v>6</v>
      </c>
      <c r="AE83" s="2" t="s">
        <v>5</v>
      </c>
      <c r="AF83" s="2" t="s">
        <v>5</v>
      </c>
      <c r="AG83" s="2" t="s">
        <v>6</v>
      </c>
      <c r="AH83" s="2" t="s">
        <v>6</v>
      </c>
      <c r="AI83" s="2" t="s">
        <v>6</v>
      </c>
      <c r="AJ83" s="54" t="s">
        <v>5</v>
      </c>
      <c r="AK83" s="2" t="s">
        <v>6</v>
      </c>
      <c r="AL83" s="2" t="s">
        <v>6</v>
      </c>
      <c r="AM83" s="2" t="s">
        <v>5</v>
      </c>
      <c r="AN83" s="20"/>
      <c r="AO83" s="12" t="s">
        <v>18</v>
      </c>
    </row>
    <row r="84" spans="1:41">
      <c r="A84" s="1" t="s">
        <v>131</v>
      </c>
      <c r="B84" s="12" t="s">
        <v>235</v>
      </c>
      <c r="C84" s="1" t="s">
        <v>49</v>
      </c>
      <c r="D84" s="1" t="s">
        <v>42</v>
      </c>
      <c r="E84" s="1" t="s">
        <v>50</v>
      </c>
      <c r="F84" s="6">
        <v>45881</v>
      </c>
      <c r="G84" s="1" t="s">
        <v>32</v>
      </c>
      <c r="H84" s="12" t="s">
        <v>18</v>
      </c>
      <c r="I84" s="7" t="s">
        <v>7</v>
      </c>
      <c r="J84" s="2" t="s">
        <v>5</v>
      </c>
      <c r="K84" s="2" t="s">
        <v>5</v>
      </c>
      <c r="L84" s="2">
        <v>0.375</v>
      </c>
      <c r="M84" s="2">
        <v>0.375</v>
      </c>
      <c r="N84" s="2">
        <v>0.375</v>
      </c>
      <c r="O84" s="2" t="s">
        <v>5</v>
      </c>
      <c r="P84" s="2">
        <v>0.375</v>
      </c>
      <c r="Q84" s="2">
        <v>0.375</v>
      </c>
      <c r="R84" s="2" t="s">
        <v>5</v>
      </c>
      <c r="S84" s="2" t="s">
        <v>5</v>
      </c>
      <c r="T84" s="2">
        <v>0.375</v>
      </c>
      <c r="U84" s="2" t="s">
        <v>5</v>
      </c>
      <c r="V84" s="2">
        <v>0.375</v>
      </c>
      <c r="W84" s="2">
        <v>0.38194444444444442</v>
      </c>
      <c r="X84" s="2">
        <v>0.375</v>
      </c>
      <c r="Y84" s="2" t="s">
        <v>5</v>
      </c>
      <c r="Z84" s="2">
        <v>0.375</v>
      </c>
      <c r="AA84" s="2">
        <v>0.375</v>
      </c>
      <c r="AB84" s="2">
        <v>0.375</v>
      </c>
      <c r="AC84" s="2">
        <v>0.375</v>
      </c>
      <c r="AD84" s="2">
        <v>0.375</v>
      </c>
      <c r="AE84" s="2" t="s">
        <v>5</v>
      </c>
      <c r="AF84" s="2" t="s">
        <v>5</v>
      </c>
      <c r="AG84" s="2">
        <v>0.38541666666666669</v>
      </c>
      <c r="AH84" s="2">
        <v>0.39583333333333331</v>
      </c>
      <c r="AI84" s="2">
        <v>0.375</v>
      </c>
      <c r="AJ84" s="54" t="s">
        <v>5</v>
      </c>
      <c r="AK84" s="2">
        <v>0.54166666666666663</v>
      </c>
      <c r="AL84" s="2">
        <v>0.41666666666666669</v>
      </c>
      <c r="AM84" s="2" t="s">
        <v>5</v>
      </c>
      <c r="AN84" s="20"/>
      <c r="AO84" s="12"/>
    </row>
    <row r="85" spans="1:41">
      <c r="A85" s="1" t="s">
        <v>131</v>
      </c>
      <c r="B85" s="12" t="s">
        <v>235</v>
      </c>
      <c r="C85" s="1" t="s">
        <v>49</v>
      </c>
      <c r="D85" s="1" t="s">
        <v>42</v>
      </c>
      <c r="E85" s="1" t="s">
        <v>50</v>
      </c>
      <c r="F85" s="6">
        <v>45881</v>
      </c>
      <c r="G85" s="1" t="s">
        <v>32</v>
      </c>
      <c r="H85" s="12" t="s">
        <v>18</v>
      </c>
      <c r="I85" s="7" t="s">
        <v>8</v>
      </c>
      <c r="J85" s="2" t="s">
        <v>5</v>
      </c>
      <c r="K85" s="2" t="s">
        <v>5</v>
      </c>
      <c r="L85" s="2">
        <v>0.875</v>
      </c>
      <c r="M85" s="2">
        <v>0.87847222222222221</v>
      </c>
      <c r="N85" s="2">
        <v>0.75</v>
      </c>
      <c r="O85" s="2" t="s">
        <v>5</v>
      </c>
      <c r="P85" s="2">
        <v>0.79166666666666663</v>
      </c>
      <c r="Q85" s="2">
        <v>0.95833333333333337</v>
      </c>
      <c r="R85" s="2" t="s">
        <v>5</v>
      </c>
      <c r="S85" s="2" t="s">
        <v>5</v>
      </c>
      <c r="T85" s="2">
        <v>0.75</v>
      </c>
      <c r="U85" s="2" t="s">
        <v>5</v>
      </c>
      <c r="V85" s="2">
        <v>0.83333333333333337</v>
      </c>
      <c r="W85" s="2">
        <v>0.875</v>
      </c>
      <c r="X85" s="2">
        <v>0.75</v>
      </c>
      <c r="Y85" s="2" t="s">
        <v>5</v>
      </c>
      <c r="Z85" s="2">
        <v>0.875</v>
      </c>
      <c r="AA85" s="2">
        <v>0.84722222222222221</v>
      </c>
      <c r="AB85" s="2">
        <v>0.875</v>
      </c>
      <c r="AC85" s="2">
        <v>0.88194444444444453</v>
      </c>
      <c r="AD85" s="2">
        <v>0.89930555555555547</v>
      </c>
      <c r="AE85" s="2" t="s">
        <v>5</v>
      </c>
      <c r="AF85" s="2" t="s">
        <v>5</v>
      </c>
      <c r="AG85" s="2">
        <v>0.875</v>
      </c>
      <c r="AH85" s="2">
        <v>0.75</v>
      </c>
      <c r="AI85" s="2">
        <v>0.94236111111111109</v>
      </c>
      <c r="AJ85" s="54" t="s">
        <v>5</v>
      </c>
      <c r="AK85" s="2">
        <v>0.9375</v>
      </c>
      <c r="AL85" s="2">
        <v>0.93055555555555547</v>
      </c>
      <c r="AM85" s="2" t="s">
        <v>5</v>
      </c>
      <c r="AN85" s="20"/>
      <c r="AO85" s="12"/>
    </row>
    <row r="86" spans="1:41">
      <c r="A86" s="21" t="s">
        <v>131</v>
      </c>
      <c r="B86" s="21" t="s">
        <v>235</v>
      </c>
      <c r="C86" s="21" t="s">
        <v>49</v>
      </c>
      <c r="D86" s="21" t="s">
        <v>42</v>
      </c>
      <c r="E86" s="21" t="s">
        <v>50</v>
      </c>
      <c r="F86" s="22">
        <v>45881</v>
      </c>
      <c r="G86" s="21" t="s">
        <v>32</v>
      </c>
      <c r="H86" s="21" t="s">
        <v>18</v>
      </c>
      <c r="I86" s="23" t="s">
        <v>9</v>
      </c>
      <c r="J86" s="24" t="s">
        <v>5</v>
      </c>
      <c r="K86" s="24" t="s">
        <v>5</v>
      </c>
      <c r="L86" s="24">
        <f t="shared" ref="L86:N86" si="269">IF(AND(ISBLANK(L84),ISBLANK(L85)),"A",IFERROR(+MOD(L85-L84,1),L83))</f>
        <v>0.5</v>
      </c>
      <c r="M86" s="24">
        <f t="shared" si="269"/>
        <v>0.50347222222222221</v>
      </c>
      <c r="N86" s="24">
        <f t="shared" si="269"/>
        <v>0.375</v>
      </c>
      <c r="O86" s="24" t="s">
        <v>5</v>
      </c>
      <c r="P86" s="24">
        <f t="shared" ref="P86" si="270">IF(AND(ISBLANK(P84),ISBLANK(P85)),"A",IFERROR(+MOD(P85-P84,1),P83))</f>
        <v>0.41666666666666663</v>
      </c>
      <c r="Q86" s="24">
        <f t="shared" ref="Q86" si="271">IF(AND(ISBLANK(Q84),ISBLANK(Q85)),"A",IFERROR(+MOD(Q85-Q84,1),Q83))</f>
        <v>0.58333333333333337</v>
      </c>
      <c r="R86" s="24" t="s">
        <v>5</v>
      </c>
      <c r="S86" s="24" t="s">
        <v>5</v>
      </c>
      <c r="T86" s="24">
        <f t="shared" ref="T86" si="272">IF(AND(ISBLANK(T84),ISBLANK(T85)),"A",IFERROR(+MOD(T85-T84,1),T83))</f>
        <v>0.375</v>
      </c>
      <c r="U86" s="24" t="s">
        <v>5</v>
      </c>
      <c r="V86" s="24">
        <f t="shared" ref="V86" si="273">IF(AND(ISBLANK(V84),ISBLANK(V85)),"A",IFERROR(+MOD(V85-V84,1),V83))</f>
        <v>0.45833333333333337</v>
      </c>
      <c r="W86" s="24">
        <f t="shared" ref="W86" si="274">IF(AND(ISBLANK(W84),ISBLANK(W85)),"A",IFERROR(+MOD(W85-W84,1),W83))</f>
        <v>0.49305555555555558</v>
      </c>
      <c r="X86" s="24">
        <f t="shared" ref="X86" si="275">IF(AND(ISBLANK(X84),ISBLANK(X85)),"A",IFERROR(+MOD(X85-X84,1),X83))</f>
        <v>0.375</v>
      </c>
      <c r="Y86" s="24" t="s">
        <v>5</v>
      </c>
      <c r="Z86" s="24">
        <f t="shared" ref="Z86:AA86" si="276">IF(AND(ISBLANK(Z84),ISBLANK(Z85)),"A",IFERROR(+MOD(Z85-Z84,1),Z83))</f>
        <v>0.5</v>
      </c>
      <c r="AA86" s="24">
        <f t="shared" si="276"/>
        <v>0.47222222222222221</v>
      </c>
      <c r="AB86" s="24">
        <f t="shared" ref="AB86" si="277">IF(AND(ISBLANK(AB84),ISBLANK(AB85)),"A",IFERROR(+MOD(AB85-AB84,1),AB83))</f>
        <v>0.5</v>
      </c>
      <c r="AC86" s="24">
        <f t="shared" ref="AC86" si="278">IF(AND(ISBLANK(AC84),ISBLANK(AC85)),"A",IFERROR(+MOD(AC85-AC84,1),AC83))</f>
        <v>0.50694444444444453</v>
      </c>
      <c r="AD86" s="24">
        <f t="shared" ref="AD86" si="279">IF(AND(ISBLANK(AD84),ISBLANK(AD85)),"A",IFERROR(+MOD(AD85-AD84,1),AD83))</f>
        <v>0.52430555555555547</v>
      </c>
      <c r="AE86" s="24" t="s">
        <v>5</v>
      </c>
      <c r="AF86" s="24" t="s">
        <v>5</v>
      </c>
      <c r="AG86" s="24">
        <f t="shared" ref="AG86" si="280">IF(AND(ISBLANK(AG84),ISBLANK(AG85)),"A",IFERROR(+MOD(AG85-AG84,1),AG83))</f>
        <v>0.48958333333333331</v>
      </c>
      <c r="AH86" s="24">
        <f t="shared" ref="AH86:AI86" si="281">IF(AND(ISBLANK(AH84),ISBLANK(AH85)),"A",IFERROR(+MOD(AH85-AH84,1),AH83))</f>
        <v>0.35416666666666669</v>
      </c>
      <c r="AI86" s="24">
        <f t="shared" si="281"/>
        <v>0.56736111111111109</v>
      </c>
      <c r="AJ86" s="24" t="s">
        <v>5</v>
      </c>
      <c r="AK86" s="24">
        <f t="shared" ref="AK86" si="282">IF(AND(ISBLANK(AK84),ISBLANK(AK85)),"A",IFERROR(+MOD(AK85-AK84,1),AK83))</f>
        <v>0.39583333333333337</v>
      </c>
      <c r="AL86" s="24">
        <f t="shared" ref="AL86" si="283">IF(AND(ISBLANK(AL84),ISBLANK(AL85)),"A",IFERROR(+MOD(AL85-AL84,1),AL83))</f>
        <v>0.51388888888888884</v>
      </c>
      <c r="AM86" s="24" t="s">
        <v>5</v>
      </c>
      <c r="AN86" s="17">
        <f>COUNT(F86:AM86)</f>
        <v>20</v>
      </c>
      <c r="AO86" s="21"/>
    </row>
    <row r="87" spans="1:41">
      <c r="A87" s="8" t="s">
        <v>125</v>
      </c>
      <c r="B87" s="12" t="s">
        <v>236</v>
      </c>
      <c r="C87" s="10" t="s">
        <v>53</v>
      </c>
      <c r="D87" s="10" t="s">
        <v>42</v>
      </c>
      <c r="E87" s="10" t="s">
        <v>143</v>
      </c>
      <c r="F87" s="11">
        <v>45885</v>
      </c>
      <c r="G87" s="12" t="s">
        <v>32</v>
      </c>
      <c r="H87" s="12" t="s">
        <v>18</v>
      </c>
      <c r="I87" s="13" t="s">
        <v>4</v>
      </c>
      <c r="J87" s="2" t="s">
        <v>6</v>
      </c>
      <c r="K87" s="2" t="s">
        <v>5</v>
      </c>
      <c r="L87" s="2" t="s">
        <v>5</v>
      </c>
      <c r="M87" s="2" t="s">
        <v>5</v>
      </c>
      <c r="N87" s="2" t="s">
        <v>5</v>
      </c>
      <c r="O87" s="2" t="s">
        <v>5</v>
      </c>
      <c r="P87" s="2" t="s">
        <v>5</v>
      </c>
      <c r="Q87" s="2" t="s">
        <v>5</v>
      </c>
      <c r="R87" s="2" t="s">
        <v>5</v>
      </c>
      <c r="S87" s="2" t="s">
        <v>5</v>
      </c>
      <c r="T87" s="2" t="s">
        <v>5</v>
      </c>
      <c r="U87" s="2" t="s">
        <v>6</v>
      </c>
      <c r="V87" s="2" t="s">
        <v>6</v>
      </c>
      <c r="W87" s="2" t="s">
        <v>5</v>
      </c>
      <c r="X87" s="2" t="s">
        <v>6</v>
      </c>
      <c r="Y87" s="2" t="s">
        <v>6</v>
      </c>
      <c r="Z87" s="2" t="s">
        <v>6</v>
      </c>
      <c r="AA87" s="2" t="s">
        <v>6</v>
      </c>
      <c r="AB87" s="2" t="s">
        <v>5</v>
      </c>
      <c r="AC87" s="2" t="s">
        <v>6</v>
      </c>
      <c r="AD87" s="2" t="s">
        <v>6</v>
      </c>
      <c r="AE87" s="2" t="s">
        <v>5</v>
      </c>
      <c r="AF87" s="2" t="s">
        <v>6</v>
      </c>
      <c r="AG87" s="2" t="s">
        <v>6</v>
      </c>
      <c r="AH87" s="2" t="s">
        <v>6</v>
      </c>
      <c r="AI87" s="2" t="s">
        <v>5</v>
      </c>
      <c r="AJ87" s="2" t="s">
        <v>5</v>
      </c>
      <c r="AK87" s="2" t="s">
        <v>6</v>
      </c>
      <c r="AL87" s="2" t="s">
        <v>6</v>
      </c>
      <c r="AM87" s="2" t="s">
        <v>5</v>
      </c>
      <c r="AN87" s="20"/>
      <c r="AO87" s="12" t="s">
        <v>18</v>
      </c>
    </row>
    <row r="88" spans="1:41">
      <c r="A88" s="1" t="s">
        <v>125</v>
      </c>
      <c r="B88" s="12" t="s">
        <v>236</v>
      </c>
      <c r="C88" s="1" t="s">
        <v>53</v>
      </c>
      <c r="D88" s="1" t="s">
        <v>42</v>
      </c>
      <c r="E88" s="1" t="s">
        <v>143</v>
      </c>
      <c r="F88" s="6">
        <v>45885</v>
      </c>
      <c r="G88" s="1" t="s">
        <v>32</v>
      </c>
      <c r="H88" s="12" t="s">
        <v>18</v>
      </c>
      <c r="I88" s="7" t="s">
        <v>7</v>
      </c>
      <c r="J88" s="2">
        <v>0.375</v>
      </c>
      <c r="K88" s="2" t="s">
        <v>5</v>
      </c>
      <c r="L88" s="2" t="s">
        <v>5</v>
      </c>
      <c r="M88" s="2" t="s">
        <v>5</v>
      </c>
      <c r="N88" s="2" t="s">
        <v>5</v>
      </c>
      <c r="O88" s="2" t="s">
        <v>5</v>
      </c>
      <c r="P88" s="2" t="s">
        <v>5</v>
      </c>
      <c r="Q88" s="2" t="s">
        <v>5</v>
      </c>
      <c r="R88" s="2" t="s">
        <v>5</v>
      </c>
      <c r="S88" s="2" t="s">
        <v>5</v>
      </c>
      <c r="T88" s="2" t="s">
        <v>5</v>
      </c>
      <c r="U88" s="2">
        <v>0.375</v>
      </c>
      <c r="V88" s="2">
        <v>0.375</v>
      </c>
      <c r="W88" s="2" t="s">
        <v>5</v>
      </c>
      <c r="X88" s="2">
        <v>0.375</v>
      </c>
      <c r="Y88" s="2">
        <v>0.375</v>
      </c>
      <c r="Z88" s="2">
        <v>0.375</v>
      </c>
      <c r="AA88" s="2">
        <v>0.375</v>
      </c>
      <c r="AB88" s="2" t="s">
        <v>5</v>
      </c>
      <c r="AC88" s="2">
        <v>0.45833333333333331</v>
      </c>
      <c r="AD88" s="2">
        <v>0.375</v>
      </c>
      <c r="AE88" s="2" t="s">
        <v>5</v>
      </c>
      <c r="AF88" s="2">
        <v>0.3888888888888889</v>
      </c>
      <c r="AG88" s="2">
        <v>0.7583333333333333</v>
      </c>
      <c r="AH88" s="2">
        <v>0.75</v>
      </c>
      <c r="AI88" s="2" t="s">
        <v>5</v>
      </c>
      <c r="AJ88" s="2" t="s">
        <v>5</v>
      </c>
      <c r="AK88" s="2">
        <v>0.75</v>
      </c>
      <c r="AL88" s="2">
        <v>0.76736111111111116</v>
      </c>
      <c r="AM88" s="2" t="s">
        <v>5</v>
      </c>
      <c r="AN88" s="20"/>
      <c r="AO88" s="12"/>
    </row>
    <row r="89" spans="1:41">
      <c r="A89" s="1" t="s">
        <v>125</v>
      </c>
      <c r="B89" s="12" t="s">
        <v>236</v>
      </c>
      <c r="C89" s="1" t="s">
        <v>53</v>
      </c>
      <c r="D89" s="1" t="s">
        <v>42</v>
      </c>
      <c r="E89" s="1" t="s">
        <v>143</v>
      </c>
      <c r="F89" s="6">
        <v>45885</v>
      </c>
      <c r="G89" s="1" t="s">
        <v>32</v>
      </c>
      <c r="H89" s="12" t="s">
        <v>18</v>
      </c>
      <c r="I89" s="7" t="s">
        <v>8</v>
      </c>
      <c r="J89" s="2">
        <v>0.85763888888888884</v>
      </c>
      <c r="K89" s="2" t="s">
        <v>5</v>
      </c>
      <c r="L89" s="2" t="s">
        <v>5</v>
      </c>
      <c r="M89" s="2" t="s">
        <v>5</v>
      </c>
      <c r="N89" s="2" t="s">
        <v>5</v>
      </c>
      <c r="O89" s="2" t="s">
        <v>5</v>
      </c>
      <c r="P89" s="2" t="s">
        <v>5</v>
      </c>
      <c r="Q89" s="2" t="s">
        <v>5</v>
      </c>
      <c r="R89" s="2" t="s">
        <v>5</v>
      </c>
      <c r="S89" s="2" t="s">
        <v>5</v>
      </c>
      <c r="T89" s="2" t="s">
        <v>5</v>
      </c>
      <c r="U89" s="2">
        <v>0.79166666666666663</v>
      </c>
      <c r="V89" s="2">
        <v>1.0138888888888888</v>
      </c>
      <c r="W89" s="2" t="s">
        <v>5</v>
      </c>
      <c r="X89" s="2">
        <v>0.79166666666666663</v>
      </c>
      <c r="Y89" s="2">
        <v>0.83333333333333337</v>
      </c>
      <c r="Z89" s="2">
        <v>0.86111111111111116</v>
      </c>
      <c r="AA89" s="2">
        <v>0.875</v>
      </c>
      <c r="AB89" s="2" t="s">
        <v>5</v>
      </c>
      <c r="AC89" s="2">
        <v>0.93402777777777779</v>
      </c>
      <c r="AD89" s="2">
        <v>0.875</v>
      </c>
      <c r="AE89" s="2" t="s">
        <v>5</v>
      </c>
      <c r="AF89" s="2">
        <v>0.75</v>
      </c>
      <c r="AG89" s="2">
        <v>0.20555555555555557</v>
      </c>
      <c r="AH89" s="2">
        <v>0.25</v>
      </c>
      <c r="AI89" s="2" t="s">
        <v>5</v>
      </c>
      <c r="AJ89" s="2" t="s">
        <v>5</v>
      </c>
      <c r="AK89" s="2">
        <v>0.1875</v>
      </c>
      <c r="AL89" s="2">
        <v>0.20833333333333334</v>
      </c>
      <c r="AM89" s="2" t="s">
        <v>5</v>
      </c>
      <c r="AN89" s="20"/>
      <c r="AO89" s="12"/>
    </row>
    <row r="90" spans="1:41">
      <c r="A90" s="21" t="s">
        <v>125</v>
      </c>
      <c r="B90" s="21" t="s">
        <v>236</v>
      </c>
      <c r="C90" s="21" t="s">
        <v>53</v>
      </c>
      <c r="D90" s="21" t="s">
        <v>42</v>
      </c>
      <c r="E90" s="21" t="s">
        <v>143</v>
      </c>
      <c r="F90" s="22">
        <v>45885</v>
      </c>
      <c r="G90" s="21" t="s">
        <v>32</v>
      </c>
      <c r="H90" s="21" t="s">
        <v>18</v>
      </c>
      <c r="I90" s="23" t="s">
        <v>9</v>
      </c>
      <c r="J90" s="24">
        <f>IF(AND(ISBLANK(J88),ISBLANK(J89)),"A",IFERROR(+MOD(J89-J88,1),J87))</f>
        <v>0.48263888888888884</v>
      </c>
      <c r="K90" s="24" t="s">
        <v>5</v>
      </c>
      <c r="L90" s="24" t="s">
        <v>5</v>
      </c>
      <c r="M90" s="24" t="s">
        <v>5</v>
      </c>
      <c r="N90" s="24" t="s">
        <v>5</v>
      </c>
      <c r="O90" s="24" t="s">
        <v>5</v>
      </c>
      <c r="P90" s="24" t="s">
        <v>5</v>
      </c>
      <c r="Q90" s="24" t="s">
        <v>5</v>
      </c>
      <c r="R90" s="24" t="s">
        <v>5</v>
      </c>
      <c r="S90" s="24" t="s">
        <v>5</v>
      </c>
      <c r="T90" s="24" t="s">
        <v>5</v>
      </c>
      <c r="U90" s="24">
        <f t="shared" ref="U90" si="284">IF(AND(ISBLANK(U88),ISBLANK(U89)),"A",IFERROR(+MOD(U89-U88,1),U87))</f>
        <v>0.41666666666666663</v>
      </c>
      <c r="V90" s="24">
        <f t="shared" ref="V90" si="285">IF(AND(ISBLANK(V88),ISBLANK(V89)),"A",IFERROR(+MOD(V89-V88,1),V87))</f>
        <v>0.63888888888888884</v>
      </c>
      <c r="W90" s="24" t="s">
        <v>5</v>
      </c>
      <c r="X90" s="24">
        <f t="shared" ref="X90" si="286">IF(AND(ISBLANK(X88),ISBLANK(X89)),"A",IFERROR(+MOD(X89-X88,1),X87))</f>
        <v>0.41666666666666663</v>
      </c>
      <c r="Y90" s="24">
        <f t="shared" ref="Y90" si="287">IF(AND(ISBLANK(Y88),ISBLANK(Y89)),"A",IFERROR(+MOD(Y89-Y88,1),Y87))</f>
        <v>0.45833333333333337</v>
      </c>
      <c r="Z90" s="24">
        <f t="shared" ref="Z90" si="288">IF(AND(ISBLANK(Z88),ISBLANK(Z89)),"A",IFERROR(+MOD(Z89-Z88,1),Z87))</f>
        <v>0.48611111111111116</v>
      </c>
      <c r="AA90" s="24">
        <f t="shared" ref="AA90:AC90" si="289">IF(AND(ISBLANK(AA88),ISBLANK(AA89)),"A",IFERROR(+MOD(AA89-AA88,1),AA87))</f>
        <v>0.5</v>
      </c>
      <c r="AB90" s="24" t="s">
        <v>5</v>
      </c>
      <c r="AC90" s="24">
        <f t="shared" si="289"/>
        <v>0.47569444444444448</v>
      </c>
      <c r="AD90" s="24">
        <f t="shared" ref="AD90:AF90" si="290">IF(AND(ISBLANK(AD88),ISBLANK(AD89)),"A",IFERROR(+MOD(AD89-AD88,1),AD87))</f>
        <v>0.5</v>
      </c>
      <c r="AE90" s="24" t="s">
        <v>5</v>
      </c>
      <c r="AF90" s="24">
        <f t="shared" si="290"/>
        <v>0.3611111111111111</v>
      </c>
      <c r="AG90" s="24">
        <f t="shared" ref="AG90:AH90" si="291">IF(AND(ISBLANK(AG88),ISBLANK(AG89)),"A",IFERROR(+MOD(AG89-AG88,1),AG87))</f>
        <v>0.4472222222222223</v>
      </c>
      <c r="AH90" s="24">
        <f t="shared" si="291"/>
        <v>0.5</v>
      </c>
      <c r="AI90" s="24" t="s">
        <v>5</v>
      </c>
      <c r="AJ90" s="24" t="s">
        <v>5</v>
      </c>
      <c r="AK90" s="24">
        <f t="shared" ref="AK90" si="292">IF(AND(ISBLANK(AK88),ISBLANK(AK89)),"A",IFERROR(+MOD(AK89-AK88,1),AK87))</f>
        <v>0.4375</v>
      </c>
      <c r="AL90" s="24">
        <f t="shared" ref="AL90" si="293">IF(AND(ISBLANK(AL88),ISBLANK(AL89)),"A",IFERROR(+MOD(AL89-AL88,1),AL87))</f>
        <v>0.44097222222222221</v>
      </c>
      <c r="AM90" s="24" t="s">
        <v>5</v>
      </c>
      <c r="AN90" s="17">
        <f>COUNT(F90:AM90)</f>
        <v>15</v>
      </c>
      <c r="AO90" s="21"/>
    </row>
    <row r="91" spans="1:41">
      <c r="A91" s="8" t="s">
        <v>209</v>
      </c>
      <c r="B91" s="12" t="s">
        <v>232</v>
      </c>
      <c r="C91" s="10" t="s">
        <v>208</v>
      </c>
      <c r="D91" s="10" t="s">
        <v>42</v>
      </c>
      <c r="E91" s="10" t="s">
        <v>64</v>
      </c>
      <c r="F91" s="11">
        <v>45887</v>
      </c>
      <c r="G91" s="12" t="s">
        <v>32</v>
      </c>
      <c r="H91" s="12" t="s">
        <v>18</v>
      </c>
      <c r="I91" s="13" t="s">
        <v>4</v>
      </c>
      <c r="J91" s="2" t="s">
        <v>6</v>
      </c>
      <c r="K91" s="2" t="s">
        <v>5</v>
      </c>
      <c r="L91" s="2" t="s">
        <v>6</v>
      </c>
      <c r="M91" s="2" t="s">
        <v>6</v>
      </c>
      <c r="N91" s="2" t="s">
        <v>6</v>
      </c>
      <c r="O91" s="2" t="s">
        <v>5</v>
      </c>
      <c r="P91" s="2" t="s">
        <v>6</v>
      </c>
      <c r="Q91" s="2" t="s">
        <v>6</v>
      </c>
      <c r="R91" s="2" t="s">
        <v>5</v>
      </c>
      <c r="S91" s="2" t="s">
        <v>6</v>
      </c>
      <c r="T91" s="2" t="s">
        <v>6</v>
      </c>
      <c r="U91" s="2" t="s">
        <v>6</v>
      </c>
      <c r="V91" s="2" t="s">
        <v>5</v>
      </c>
      <c r="W91" s="2" t="s">
        <v>6</v>
      </c>
      <c r="X91" s="2" t="s">
        <v>6</v>
      </c>
      <c r="Y91" s="2" t="s">
        <v>5</v>
      </c>
      <c r="Z91" s="2" t="s">
        <v>6</v>
      </c>
      <c r="AA91" s="2" t="s">
        <v>6</v>
      </c>
      <c r="AB91" s="2" t="s">
        <v>6</v>
      </c>
      <c r="AC91" s="2" t="s">
        <v>5</v>
      </c>
      <c r="AD91" s="2" t="s">
        <v>6</v>
      </c>
      <c r="AE91" s="2" t="s">
        <v>6</v>
      </c>
      <c r="AF91" s="2" t="s">
        <v>5</v>
      </c>
      <c r="AG91" s="2" t="s">
        <v>6</v>
      </c>
      <c r="AH91" s="2" t="s">
        <v>5</v>
      </c>
      <c r="AI91" s="2" t="s">
        <v>6</v>
      </c>
      <c r="AJ91" s="2" t="s">
        <v>6</v>
      </c>
      <c r="AK91" s="2" t="s">
        <v>6</v>
      </c>
      <c r="AL91" s="2" t="s">
        <v>6</v>
      </c>
      <c r="AM91" s="2" t="s">
        <v>5</v>
      </c>
      <c r="AN91" s="20"/>
      <c r="AO91" s="12" t="s">
        <v>18</v>
      </c>
    </row>
    <row r="92" spans="1:41">
      <c r="A92" s="1" t="s">
        <v>209</v>
      </c>
      <c r="B92" s="12" t="s">
        <v>232</v>
      </c>
      <c r="C92" s="1" t="s">
        <v>208</v>
      </c>
      <c r="D92" s="1" t="s">
        <v>42</v>
      </c>
      <c r="E92" s="1" t="s">
        <v>64</v>
      </c>
      <c r="F92" s="6">
        <v>45887</v>
      </c>
      <c r="G92" s="1" t="s">
        <v>32</v>
      </c>
      <c r="H92" s="12" t="s">
        <v>18</v>
      </c>
      <c r="I92" s="7" t="s">
        <v>7</v>
      </c>
      <c r="J92" s="2">
        <v>0.375</v>
      </c>
      <c r="K92" s="2" t="s">
        <v>5</v>
      </c>
      <c r="L92" s="2">
        <v>0.375</v>
      </c>
      <c r="M92" s="2">
        <v>0.375</v>
      </c>
      <c r="N92" s="2">
        <v>0.375</v>
      </c>
      <c r="O92" s="2" t="s">
        <v>5</v>
      </c>
      <c r="P92" s="2">
        <v>0.375</v>
      </c>
      <c r="Q92" s="2">
        <v>0.375</v>
      </c>
      <c r="R92" s="2" t="s">
        <v>5</v>
      </c>
      <c r="S92" s="2">
        <v>0.375</v>
      </c>
      <c r="T92" s="2">
        <v>0.375</v>
      </c>
      <c r="U92" s="2">
        <v>0.38541666666666669</v>
      </c>
      <c r="V92" s="2" t="s">
        <v>5</v>
      </c>
      <c r="W92" s="2">
        <v>0.375</v>
      </c>
      <c r="X92" s="2">
        <v>0.41666666666666669</v>
      </c>
      <c r="Y92" s="2" t="s">
        <v>5</v>
      </c>
      <c r="Z92" s="2">
        <v>0.375</v>
      </c>
      <c r="AA92" s="2">
        <v>0.375</v>
      </c>
      <c r="AB92" s="2">
        <v>0.375</v>
      </c>
      <c r="AC92" s="2" t="s">
        <v>5</v>
      </c>
      <c r="AD92" s="2">
        <v>0.375</v>
      </c>
      <c r="AE92" s="2">
        <v>0.375</v>
      </c>
      <c r="AF92" s="2" t="s">
        <v>5</v>
      </c>
      <c r="AG92" s="2">
        <v>0.38541666666666669</v>
      </c>
      <c r="AH92" s="2" t="s">
        <v>5</v>
      </c>
      <c r="AI92" s="2">
        <v>0.375</v>
      </c>
      <c r="AJ92" s="2">
        <v>0.40277777777777773</v>
      </c>
      <c r="AK92" s="2">
        <v>0.39583333333333331</v>
      </c>
      <c r="AL92" s="2">
        <v>0.375</v>
      </c>
      <c r="AM92" s="2" t="s">
        <v>5</v>
      </c>
      <c r="AN92" s="20"/>
      <c r="AO92" s="12"/>
    </row>
    <row r="93" spans="1:41">
      <c r="A93" s="1" t="s">
        <v>209</v>
      </c>
      <c r="B93" s="12" t="s">
        <v>232</v>
      </c>
      <c r="C93" s="1" t="s">
        <v>208</v>
      </c>
      <c r="D93" s="1" t="s">
        <v>42</v>
      </c>
      <c r="E93" s="1" t="s">
        <v>64</v>
      </c>
      <c r="F93" s="6">
        <v>45887</v>
      </c>
      <c r="G93" s="1" t="s">
        <v>32</v>
      </c>
      <c r="H93" s="12" t="s">
        <v>18</v>
      </c>
      <c r="I93" s="7" t="s">
        <v>8</v>
      </c>
      <c r="J93" s="2">
        <v>0.91666666666666663</v>
      </c>
      <c r="K93" s="2" t="s">
        <v>5</v>
      </c>
      <c r="L93" s="2">
        <v>0.87638888888888899</v>
      </c>
      <c r="M93" s="2">
        <v>1</v>
      </c>
      <c r="N93" s="2">
        <v>0.97222222222222221</v>
      </c>
      <c r="O93" s="2" t="s">
        <v>5</v>
      </c>
      <c r="P93" s="2">
        <v>0.79166666666666663</v>
      </c>
      <c r="Q93" s="2">
        <v>0.16666666666666666</v>
      </c>
      <c r="R93" s="2" t="s">
        <v>5</v>
      </c>
      <c r="S93" s="2">
        <v>0.75</v>
      </c>
      <c r="T93" s="2">
        <v>4.8611111111111112E-2</v>
      </c>
      <c r="U93" s="2">
        <v>0.99305555555555547</v>
      </c>
      <c r="V93" s="2" t="s">
        <v>5</v>
      </c>
      <c r="W93" s="2">
        <v>5.7638888888888885E-2</v>
      </c>
      <c r="X93" s="2">
        <v>1</v>
      </c>
      <c r="Y93" s="2" t="s">
        <v>5</v>
      </c>
      <c r="Z93" s="2">
        <v>0.85416666666666663</v>
      </c>
      <c r="AA93" s="2">
        <v>0.875</v>
      </c>
      <c r="AB93" s="2">
        <v>0.83333333333333337</v>
      </c>
      <c r="AC93" s="2" t="s">
        <v>5</v>
      </c>
      <c r="AD93" s="2">
        <v>0.92361111111111116</v>
      </c>
      <c r="AE93" s="2">
        <v>0.21527777777777779</v>
      </c>
      <c r="AF93" s="2" t="s">
        <v>5</v>
      </c>
      <c r="AG93" s="2">
        <v>0.875</v>
      </c>
      <c r="AH93" s="2" t="s">
        <v>5</v>
      </c>
      <c r="AI93" s="2">
        <v>1.03125</v>
      </c>
      <c r="AJ93" s="2">
        <v>0.91666666666666663</v>
      </c>
      <c r="AK93" s="2">
        <v>1.0069444444444444</v>
      </c>
      <c r="AL93" s="2">
        <v>8.3333333333333329E-2</v>
      </c>
      <c r="AM93" s="2" t="s">
        <v>5</v>
      </c>
      <c r="AN93" s="20"/>
      <c r="AO93" s="12"/>
    </row>
    <row r="94" spans="1:41">
      <c r="A94" s="21" t="s">
        <v>209</v>
      </c>
      <c r="B94" s="21" t="s">
        <v>232</v>
      </c>
      <c r="C94" s="21" t="s">
        <v>208</v>
      </c>
      <c r="D94" s="21" t="s">
        <v>42</v>
      </c>
      <c r="E94" s="21" t="s">
        <v>64</v>
      </c>
      <c r="F94" s="22">
        <v>45887</v>
      </c>
      <c r="G94" s="21" t="s">
        <v>32</v>
      </c>
      <c r="H94" s="21" t="s">
        <v>18</v>
      </c>
      <c r="I94" s="23" t="s">
        <v>9</v>
      </c>
      <c r="J94" s="24">
        <f>IF(AND(ISBLANK(J92),ISBLANK(J93)),"A",IFERROR(+MOD(J93-J92,1),J91))</f>
        <v>0.54166666666666663</v>
      </c>
      <c r="K94" s="24" t="s">
        <v>5</v>
      </c>
      <c r="L94" s="24">
        <f t="shared" ref="L94" si="294">IF(AND(ISBLANK(L92),ISBLANK(L93)),"A",IFERROR(+MOD(L93-L92,1),L91))</f>
        <v>0.50138888888888899</v>
      </c>
      <c r="M94" s="24">
        <f t="shared" ref="M94" si="295">IF(AND(ISBLANK(M92),ISBLANK(M93)),"A",IFERROR(+MOD(M93-M92,1),M91))</f>
        <v>0.625</v>
      </c>
      <c r="N94" s="24">
        <f t="shared" ref="N94" si="296">IF(AND(ISBLANK(N92),ISBLANK(N93)),"A",IFERROR(+MOD(N93-N92,1),N91))</f>
        <v>0.59722222222222221</v>
      </c>
      <c r="O94" s="24" t="s">
        <v>5</v>
      </c>
      <c r="P94" s="24">
        <f t="shared" ref="P94" si="297">IF(AND(ISBLANK(P92),ISBLANK(P93)),"A",IFERROR(+MOD(P93-P92,1),P91))</f>
        <v>0.41666666666666663</v>
      </c>
      <c r="Q94" s="24">
        <f t="shared" ref="Q94" si="298">IF(AND(ISBLANK(Q92),ISBLANK(Q93)),"A",IFERROR(+MOD(Q93-Q92,1),Q91))</f>
        <v>0.79166666666666663</v>
      </c>
      <c r="R94" s="24" t="s">
        <v>5</v>
      </c>
      <c r="S94" s="24">
        <f t="shared" ref="S94" si="299">IF(AND(ISBLANK(S92),ISBLANK(S93)),"A",IFERROR(+MOD(S93-S92,1),S91))</f>
        <v>0.375</v>
      </c>
      <c r="T94" s="24">
        <f t="shared" ref="T94" si="300">IF(AND(ISBLANK(T92),ISBLANK(T93)),"A",IFERROR(+MOD(T93-T92,1),T91))</f>
        <v>0.67361111111111116</v>
      </c>
      <c r="U94" s="24">
        <f t="shared" ref="U94" si="301">IF(AND(ISBLANK(U92),ISBLANK(U93)),"A",IFERROR(+MOD(U93-U92,1),U91))</f>
        <v>0.60763888888888884</v>
      </c>
      <c r="V94" s="24" t="s">
        <v>5</v>
      </c>
      <c r="W94" s="24">
        <f t="shared" ref="W94" si="302">IF(AND(ISBLANK(W92),ISBLANK(W93)),"A",IFERROR(+MOD(W93-W92,1),W91))</f>
        <v>0.68263888888888891</v>
      </c>
      <c r="X94" s="24">
        <f t="shared" ref="X94" si="303">IF(AND(ISBLANK(X92),ISBLANK(X93)),"A",IFERROR(+MOD(X93-X92,1),X91))</f>
        <v>0.58333333333333326</v>
      </c>
      <c r="Y94" s="24" t="s">
        <v>5</v>
      </c>
      <c r="Z94" s="24">
        <f t="shared" ref="Z94" si="304">IF(AND(ISBLANK(Z92),ISBLANK(Z93)),"A",IFERROR(+MOD(Z93-Z92,1),Z91))</f>
        <v>0.47916666666666663</v>
      </c>
      <c r="AA94" s="24">
        <f t="shared" ref="AA94" si="305">IF(AND(ISBLANK(AA92),ISBLANK(AA93)),"A",IFERROR(+MOD(AA93-AA92,1),AA91))</f>
        <v>0.5</v>
      </c>
      <c r="AB94" s="24">
        <f t="shared" ref="AB94" si="306">IF(AND(ISBLANK(AB92),ISBLANK(AB93)),"A",IFERROR(+MOD(AB93-AB92,1),AB91))</f>
        <v>0.45833333333333337</v>
      </c>
      <c r="AC94" s="24" t="s">
        <v>5</v>
      </c>
      <c r="AD94" s="24">
        <f t="shared" ref="AD94" si="307">IF(AND(ISBLANK(AD92),ISBLANK(AD93)),"A",IFERROR(+MOD(AD93-AD92,1),AD91))</f>
        <v>0.54861111111111116</v>
      </c>
      <c r="AE94" s="24">
        <f t="shared" ref="AE94" si="308">IF(AND(ISBLANK(AE92),ISBLANK(AE93)),"A",IFERROR(+MOD(AE93-AE92,1),AE91))</f>
        <v>0.84027777777777779</v>
      </c>
      <c r="AF94" s="24" t="s">
        <v>5</v>
      </c>
      <c r="AG94" s="24">
        <f t="shared" ref="AG94" si="309">IF(AND(ISBLANK(AG92),ISBLANK(AG93)),"A",IFERROR(+MOD(AG93-AG92,1),AG91))</f>
        <v>0.48958333333333331</v>
      </c>
      <c r="AH94" s="24" t="s">
        <v>5</v>
      </c>
      <c r="AI94" s="24">
        <f t="shared" ref="AI94" si="310">IF(AND(ISBLANK(AI92),ISBLANK(AI93)),"A",IFERROR(+MOD(AI93-AI92,1),AI91))</f>
        <v>0.65625</v>
      </c>
      <c r="AJ94" s="24">
        <f t="shared" ref="AJ94" si="311">IF(AND(ISBLANK(AJ92),ISBLANK(AJ93)),"A",IFERROR(+MOD(AJ93-AJ92,1),AJ91))</f>
        <v>0.51388888888888884</v>
      </c>
      <c r="AK94" s="24">
        <f t="shared" ref="AK94" si="312">IF(AND(ISBLANK(AK92),ISBLANK(AK93)),"A",IFERROR(+MOD(AK93-AK92,1),AK91))</f>
        <v>0.61111111111111116</v>
      </c>
      <c r="AL94" s="24">
        <f t="shared" ref="AL94" si="313">IF(AND(ISBLANK(AL92),ISBLANK(AL93)),"A",IFERROR(+MOD(AL93-AL92,1),AL91))</f>
        <v>0.70833333333333326</v>
      </c>
      <c r="AM94" s="24" t="s">
        <v>5</v>
      </c>
      <c r="AN94" s="17">
        <f>COUNT(F94:AM94)</f>
        <v>22</v>
      </c>
      <c r="AO94" s="21"/>
    </row>
    <row r="95" spans="1:41">
      <c r="A95" s="8" t="s">
        <v>129</v>
      </c>
      <c r="B95" s="12" t="s">
        <v>233</v>
      </c>
      <c r="C95" s="10" t="s">
        <v>45</v>
      </c>
      <c r="D95" s="10" t="s">
        <v>157</v>
      </c>
      <c r="E95" s="10" t="s">
        <v>46</v>
      </c>
      <c r="F95" s="11">
        <v>45887</v>
      </c>
      <c r="G95" s="12" t="s">
        <v>32</v>
      </c>
      <c r="H95" s="12" t="s">
        <v>18</v>
      </c>
      <c r="I95" s="13" t="s">
        <v>4</v>
      </c>
      <c r="J95" s="2" t="s">
        <v>5</v>
      </c>
      <c r="K95" s="2" t="s">
        <v>5</v>
      </c>
      <c r="L95" s="2" t="s">
        <v>5</v>
      </c>
      <c r="M95" s="2" t="s">
        <v>5</v>
      </c>
      <c r="N95" s="2" t="s">
        <v>5</v>
      </c>
      <c r="O95" s="2" t="s">
        <v>5</v>
      </c>
      <c r="P95" s="2" t="s">
        <v>5</v>
      </c>
      <c r="Q95" s="2" t="s">
        <v>5</v>
      </c>
      <c r="R95" s="2" t="s">
        <v>5</v>
      </c>
      <c r="S95" s="2" t="s">
        <v>6</v>
      </c>
      <c r="T95" s="2" t="s">
        <v>6</v>
      </c>
      <c r="U95" s="2" t="s">
        <v>6</v>
      </c>
      <c r="V95" s="2" t="s">
        <v>6</v>
      </c>
      <c r="W95" s="2" t="s">
        <v>6</v>
      </c>
      <c r="X95" s="2" t="s">
        <v>6</v>
      </c>
      <c r="Y95" s="2" t="s">
        <v>5</v>
      </c>
      <c r="Z95" s="2" t="s">
        <v>5</v>
      </c>
      <c r="AA95" s="2" t="s">
        <v>5</v>
      </c>
      <c r="AB95" s="2" t="s">
        <v>5</v>
      </c>
      <c r="AC95" s="2" t="s">
        <v>6</v>
      </c>
      <c r="AD95" s="2" t="s">
        <v>6</v>
      </c>
      <c r="AE95" s="2" t="s">
        <v>6</v>
      </c>
      <c r="AF95" s="2" t="s">
        <v>5</v>
      </c>
      <c r="AG95" s="2" t="s">
        <v>6</v>
      </c>
      <c r="AH95" s="2" t="s">
        <v>6</v>
      </c>
      <c r="AI95" s="2" t="s">
        <v>6</v>
      </c>
      <c r="AJ95" s="2" t="s">
        <v>6</v>
      </c>
      <c r="AK95" s="2" t="s">
        <v>6</v>
      </c>
      <c r="AL95" s="2" t="s">
        <v>6</v>
      </c>
      <c r="AM95" s="2" t="s">
        <v>5</v>
      </c>
      <c r="AN95" s="20"/>
      <c r="AO95" s="12" t="s">
        <v>18</v>
      </c>
    </row>
    <row r="96" spans="1:41">
      <c r="A96" s="1" t="s">
        <v>129</v>
      </c>
      <c r="B96" s="12" t="s">
        <v>233</v>
      </c>
      <c r="C96" s="1" t="s">
        <v>45</v>
      </c>
      <c r="D96" s="1" t="s">
        <v>157</v>
      </c>
      <c r="E96" s="1" t="s">
        <v>46</v>
      </c>
      <c r="F96" s="6">
        <v>45887</v>
      </c>
      <c r="G96" s="1" t="s">
        <v>32</v>
      </c>
      <c r="H96" s="12" t="s">
        <v>18</v>
      </c>
      <c r="I96" s="7" t="s">
        <v>7</v>
      </c>
      <c r="J96" s="2" t="s">
        <v>5</v>
      </c>
      <c r="K96" s="2" t="s">
        <v>5</v>
      </c>
      <c r="L96" s="2" t="s">
        <v>5</v>
      </c>
      <c r="M96" s="2" t="s">
        <v>5</v>
      </c>
      <c r="N96" s="2" t="s">
        <v>5</v>
      </c>
      <c r="O96" s="2" t="s">
        <v>5</v>
      </c>
      <c r="P96" s="2" t="s">
        <v>5</v>
      </c>
      <c r="Q96" s="2" t="s">
        <v>5</v>
      </c>
      <c r="R96" s="2" t="s">
        <v>5</v>
      </c>
      <c r="S96" s="2">
        <v>0.375</v>
      </c>
      <c r="T96" s="2">
        <v>0.375</v>
      </c>
      <c r="U96" s="2">
        <v>0.41666666666666669</v>
      </c>
      <c r="V96" s="2">
        <v>0.41666666666666669</v>
      </c>
      <c r="W96" s="2">
        <v>0.41666666666666669</v>
      </c>
      <c r="X96" s="2">
        <v>0.41666666666666669</v>
      </c>
      <c r="Y96" s="2" t="s">
        <v>5</v>
      </c>
      <c r="Z96" s="2" t="s">
        <v>5</v>
      </c>
      <c r="AA96" s="2" t="s">
        <v>5</v>
      </c>
      <c r="AB96" s="2" t="s">
        <v>5</v>
      </c>
      <c r="AC96" s="2">
        <v>0.375</v>
      </c>
      <c r="AD96" s="2">
        <v>0.39930555555555558</v>
      </c>
      <c r="AE96" s="2">
        <v>0.39583333333333331</v>
      </c>
      <c r="AF96" s="2" t="s">
        <v>5</v>
      </c>
      <c r="AG96" s="2">
        <v>0.40277777777777773</v>
      </c>
      <c r="AH96" s="2">
        <v>0.40972222222222227</v>
      </c>
      <c r="AI96" s="2">
        <v>0.40972222222222227</v>
      </c>
      <c r="AJ96" s="2">
        <v>0.44791666666666669</v>
      </c>
      <c r="AK96" s="2">
        <v>0.40625</v>
      </c>
      <c r="AL96" s="2">
        <v>0.41666666666666669</v>
      </c>
      <c r="AM96" s="2" t="s">
        <v>5</v>
      </c>
      <c r="AN96" s="20"/>
      <c r="AO96" s="12"/>
    </row>
    <row r="97" spans="1:41">
      <c r="A97" s="1" t="s">
        <v>129</v>
      </c>
      <c r="B97" s="12" t="s">
        <v>233</v>
      </c>
      <c r="C97" s="1" t="s">
        <v>45</v>
      </c>
      <c r="D97" s="1" t="s">
        <v>157</v>
      </c>
      <c r="E97" s="1" t="s">
        <v>46</v>
      </c>
      <c r="F97" s="6">
        <v>45887</v>
      </c>
      <c r="G97" s="1" t="s">
        <v>32</v>
      </c>
      <c r="H97" s="12" t="s">
        <v>18</v>
      </c>
      <c r="I97" s="7" t="s">
        <v>8</v>
      </c>
      <c r="J97" s="2" t="s">
        <v>5</v>
      </c>
      <c r="K97" s="2" t="s">
        <v>5</v>
      </c>
      <c r="L97" s="2" t="s">
        <v>5</v>
      </c>
      <c r="M97" s="2" t="s">
        <v>5</v>
      </c>
      <c r="N97" s="2" t="s">
        <v>5</v>
      </c>
      <c r="O97" s="2" t="s">
        <v>5</v>
      </c>
      <c r="P97" s="2" t="s">
        <v>5</v>
      </c>
      <c r="Q97" s="2" t="s">
        <v>5</v>
      </c>
      <c r="R97" s="2" t="s">
        <v>5</v>
      </c>
      <c r="S97" s="2">
        <v>0.75</v>
      </c>
      <c r="T97" s="2">
        <v>4.8611111111111112E-2</v>
      </c>
      <c r="U97" s="2">
        <v>0.95833333333333337</v>
      </c>
      <c r="V97" s="2">
        <v>0.83333333333333337</v>
      </c>
      <c r="W97" s="2">
        <v>0.83333333333333337</v>
      </c>
      <c r="X97" s="2">
        <v>1</v>
      </c>
      <c r="Y97" s="2" t="s">
        <v>5</v>
      </c>
      <c r="Z97" s="2" t="s">
        <v>5</v>
      </c>
      <c r="AA97" s="2" t="s">
        <v>5</v>
      </c>
      <c r="AB97" s="2" t="s">
        <v>5</v>
      </c>
      <c r="AC97" s="2">
        <v>0.75</v>
      </c>
      <c r="AD97" s="2">
        <v>0.93055555555555547</v>
      </c>
      <c r="AE97" s="2">
        <v>0.21527777777777779</v>
      </c>
      <c r="AF97" s="2" t="s">
        <v>5</v>
      </c>
      <c r="AG97" s="2">
        <v>0.96180555555555547</v>
      </c>
      <c r="AH97" s="2">
        <v>0.97222222222222221</v>
      </c>
      <c r="AI97" s="2">
        <v>6.25E-2</v>
      </c>
      <c r="AJ97" s="2">
        <v>0.98958333333333337</v>
      </c>
      <c r="AK97" s="2">
        <v>1.0208333333333333</v>
      </c>
      <c r="AL97" s="2">
        <v>0.11805555555555557</v>
      </c>
      <c r="AM97" s="2" t="s">
        <v>5</v>
      </c>
      <c r="AN97" s="20"/>
      <c r="AO97" s="12"/>
    </row>
    <row r="98" spans="1:41">
      <c r="A98" s="21" t="s">
        <v>129</v>
      </c>
      <c r="B98" s="21" t="s">
        <v>233</v>
      </c>
      <c r="C98" s="21" t="s">
        <v>45</v>
      </c>
      <c r="D98" s="21" t="s">
        <v>157</v>
      </c>
      <c r="E98" s="21" t="s">
        <v>46</v>
      </c>
      <c r="F98" s="22">
        <v>45887</v>
      </c>
      <c r="G98" s="21" t="s">
        <v>32</v>
      </c>
      <c r="H98" s="21" t="s">
        <v>18</v>
      </c>
      <c r="I98" s="23" t="s">
        <v>9</v>
      </c>
      <c r="J98" s="24" t="s">
        <v>5</v>
      </c>
      <c r="K98" s="24" t="s">
        <v>5</v>
      </c>
      <c r="L98" s="24" t="s">
        <v>5</v>
      </c>
      <c r="M98" s="24" t="s">
        <v>5</v>
      </c>
      <c r="N98" s="24" t="s">
        <v>5</v>
      </c>
      <c r="O98" s="24" t="s">
        <v>5</v>
      </c>
      <c r="P98" s="24" t="s">
        <v>5</v>
      </c>
      <c r="Q98" s="24" t="s">
        <v>5</v>
      </c>
      <c r="R98" s="24" t="s">
        <v>5</v>
      </c>
      <c r="S98" s="24">
        <f t="shared" ref="S98" si="314">IF(AND(ISBLANK(S96),ISBLANK(S97)),"A",IFERROR(+MOD(S97-S96,1),S95))</f>
        <v>0.375</v>
      </c>
      <c r="T98" s="24">
        <f t="shared" ref="T98" si="315">IF(AND(ISBLANK(T96),ISBLANK(T97)),"A",IFERROR(+MOD(T97-T96,1),T95))</f>
        <v>0.67361111111111116</v>
      </c>
      <c r="U98" s="24">
        <f t="shared" ref="U98:V98" si="316">IF(AND(ISBLANK(U96),ISBLANK(U97)),"A",IFERROR(+MOD(U97-U96,1),U95))</f>
        <v>0.54166666666666674</v>
      </c>
      <c r="V98" s="24">
        <f t="shared" si="316"/>
        <v>0.41666666666666669</v>
      </c>
      <c r="W98" s="24">
        <f t="shared" ref="W98" si="317">IF(AND(ISBLANK(W96),ISBLANK(W97)),"A",IFERROR(+MOD(W97-W96,1),W95))</f>
        <v>0.41666666666666669</v>
      </c>
      <c r="X98" s="24">
        <f t="shared" ref="X98" si="318">IF(AND(ISBLANK(X96),ISBLANK(X97)),"A",IFERROR(+MOD(X97-X96,1),X95))</f>
        <v>0.58333333333333326</v>
      </c>
      <c r="Y98" s="24" t="s">
        <v>5</v>
      </c>
      <c r="Z98" s="24" t="s">
        <v>5</v>
      </c>
      <c r="AA98" s="24" t="s">
        <v>5</v>
      </c>
      <c r="AB98" s="24" t="s">
        <v>5</v>
      </c>
      <c r="AC98" s="24">
        <f t="shared" ref="AC98" si="319">IF(AND(ISBLANK(AC96),ISBLANK(AC97)),"A",IFERROR(+MOD(AC97-AC96,1),AC95))</f>
        <v>0.375</v>
      </c>
      <c r="AD98" s="24">
        <f t="shared" ref="AD98" si="320">IF(AND(ISBLANK(AD96),ISBLANK(AD97)),"A",IFERROR(+MOD(AD97-AD96,1),AD95))</f>
        <v>0.53124999999999989</v>
      </c>
      <c r="AE98" s="24">
        <f t="shared" ref="AE98" si="321">IF(AND(ISBLANK(AE96),ISBLANK(AE97)),"A",IFERROR(+MOD(AE97-AE96,1),AE95))</f>
        <v>0.81944444444444442</v>
      </c>
      <c r="AF98" s="24" t="s">
        <v>5</v>
      </c>
      <c r="AG98" s="24">
        <f t="shared" ref="AG98" si="322">IF(AND(ISBLANK(AG96),ISBLANK(AG97)),"A",IFERROR(+MOD(AG97-AG96,1),AG95))</f>
        <v>0.55902777777777768</v>
      </c>
      <c r="AH98" s="24">
        <f t="shared" ref="AH98" si="323">IF(AND(ISBLANK(AH96),ISBLANK(AH97)),"A",IFERROR(+MOD(AH97-AH96,1),AH95))</f>
        <v>0.5625</v>
      </c>
      <c r="AI98" s="24">
        <f t="shared" ref="AI98" si="324">IF(AND(ISBLANK(AI96),ISBLANK(AI97)),"A",IFERROR(+MOD(AI97-AI96,1),AI95))</f>
        <v>0.65277777777777768</v>
      </c>
      <c r="AJ98" s="24">
        <f t="shared" ref="AJ98" si="325">IF(AND(ISBLANK(AJ96),ISBLANK(AJ97)),"A",IFERROR(+MOD(AJ97-AJ96,1),AJ95))</f>
        <v>0.54166666666666674</v>
      </c>
      <c r="AK98" s="24">
        <f t="shared" ref="AK98" si="326">IF(AND(ISBLANK(AK96),ISBLANK(AK97)),"A",IFERROR(+MOD(AK97-AK96,1),AK95))</f>
        <v>0.61458333333333326</v>
      </c>
      <c r="AL98" s="24">
        <f t="shared" ref="AL98" si="327">IF(AND(ISBLANK(AL96),ISBLANK(AL97)),"A",IFERROR(+MOD(AL97-AL96,1),AL95))</f>
        <v>0.70138888888888884</v>
      </c>
      <c r="AM98" s="24" t="s">
        <v>5</v>
      </c>
      <c r="AN98" s="17">
        <f>COUNT(F98:AM98)</f>
        <v>16</v>
      </c>
      <c r="AO98" s="21"/>
    </row>
    <row r="99" spans="1:41">
      <c r="A99" s="8" t="s">
        <v>128</v>
      </c>
      <c r="B99" s="12" t="s">
        <v>230</v>
      </c>
      <c r="C99" s="10" t="s">
        <v>21</v>
      </c>
      <c r="D99" s="10" t="s">
        <v>157</v>
      </c>
      <c r="E99" s="10" t="s">
        <v>74</v>
      </c>
      <c r="F99" s="11">
        <v>45888</v>
      </c>
      <c r="G99" s="12" t="s">
        <v>32</v>
      </c>
      <c r="H99" s="12" t="s">
        <v>18</v>
      </c>
      <c r="I99" s="13" t="s">
        <v>4</v>
      </c>
      <c r="J99" s="2" t="s">
        <v>5</v>
      </c>
      <c r="K99" s="2" t="s">
        <v>5</v>
      </c>
      <c r="L99" s="2" t="s">
        <v>5</v>
      </c>
      <c r="M99" s="2" t="s">
        <v>6</v>
      </c>
      <c r="N99" s="2" t="s">
        <v>6</v>
      </c>
      <c r="O99" s="2" t="s">
        <v>6</v>
      </c>
      <c r="P99" s="2" t="s">
        <v>6</v>
      </c>
      <c r="Q99" s="2" t="s">
        <v>6</v>
      </c>
      <c r="R99" s="2" t="s">
        <v>5</v>
      </c>
      <c r="S99" s="2" t="s">
        <v>6</v>
      </c>
      <c r="T99" s="2" t="s">
        <v>5</v>
      </c>
      <c r="U99" s="2" t="s">
        <v>6</v>
      </c>
      <c r="V99" s="2" t="s">
        <v>6</v>
      </c>
      <c r="W99" s="2" t="s">
        <v>6</v>
      </c>
      <c r="X99" s="2" t="s">
        <v>6</v>
      </c>
      <c r="Y99" s="2" t="s">
        <v>6</v>
      </c>
      <c r="Z99" s="2" t="s">
        <v>6</v>
      </c>
      <c r="AA99" s="2" t="s">
        <v>6</v>
      </c>
      <c r="AB99" s="2" t="s">
        <v>6</v>
      </c>
      <c r="AC99" s="2" t="s">
        <v>6</v>
      </c>
      <c r="AD99" s="2" t="s">
        <v>6</v>
      </c>
      <c r="AE99" s="2" t="s">
        <v>6</v>
      </c>
      <c r="AF99" s="2" t="s">
        <v>6</v>
      </c>
      <c r="AG99" s="2" t="s">
        <v>6</v>
      </c>
      <c r="AH99" s="2" t="s">
        <v>6</v>
      </c>
      <c r="AI99" s="2" t="s">
        <v>6</v>
      </c>
      <c r="AJ99" s="2" t="s">
        <v>6</v>
      </c>
      <c r="AK99" s="2" t="s">
        <v>6</v>
      </c>
      <c r="AL99" s="2" t="s">
        <v>6</v>
      </c>
      <c r="AM99" s="2" t="s">
        <v>6</v>
      </c>
      <c r="AN99" s="20"/>
      <c r="AO99" s="12" t="s">
        <v>18</v>
      </c>
    </row>
    <row r="100" spans="1:41">
      <c r="A100" s="1" t="s">
        <v>128</v>
      </c>
      <c r="B100" s="12" t="s">
        <v>230</v>
      </c>
      <c r="C100" s="1" t="s">
        <v>21</v>
      </c>
      <c r="D100" s="1" t="s">
        <v>157</v>
      </c>
      <c r="E100" s="1" t="s">
        <v>74</v>
      </c>
      <c r="F100" s="6">
        <v>45888</v>
      </c>
      <c r="G100" s="1" t="s">
        <v>32</v>
      </c>
      <c r="H100" s="12" t="s">
        <v>18</v>
      </c>
      <c r="I100" s="7" t="s">
        <v>7</v>
      </c>
      <c r="J100" s="2" t="s">
        <v>5</v>
      </c>
      <c r="K100" s="2" t="s">
        <v>5</v>
      </c>
      <c r="L100" s="2" t="s">
        <v>5</v>
      </c>
      <c r="M100" s="2">
        <v>0.375</v>
      </c>
      <c r="N100" s="2">
        <v>0.375</v>
      </c>
      <c r="O100" s="2">
        <v>0.375</v>
      </c>
      <c r="P100" s="2">
        <v>0.375</v>
      </c>
      <c r="Q100" s="2">
        <v>0.375</v>
      </c>
      <c r="R100" s="2" t="s">
        <v>5</v>
      </c>
      <c r="S100" s="2">
        <v>0.375</v>
      </c>
      <c r="T100" s="2" t="s">
        <v>5</v>
      </c>
      <c r="U100" s="2">
        <v>0.375</v>
      </c>
      <c r="V100" s="2">
        <v>0.375</v>
      </c>
      <c r="W100" s="2">
        <v>0.375</v>
      </c>
      <c r="X100" s="2">
        <v>0.375</v>
      </c>
      <c r="Y100" s="2">
        <v>0.375</v>
      </c>
      <c r="Z100" s="2">
        <v>0.49305555555555558</v>
      </c>
      <c r="AA100" s="2">
        <v>0.375</v>
      </c>
      <c r="AB100" s="2">
        <v>0.375</v>
      </c>
      <c r="AC100" s="2">
        <v>0.375</v>
      </c>
      <c r="AD100" s="2">
        <v>0.375</v>
      </c>
      <c r="AE100" s="2">
        <v>0.38194444444444442</v>
      </c>
      <c r="AF100" s="2">
        <v>0.3888888888888889</v>
      </c>
      <c r="AG100" s="2">
        <v>0.38541666666666669</v>
      </c>
      <c r="AH100" s="2">
        <v>0.38194444444444442</v>
      </c>
      <c r="AI100" s="2">
        <v>0.375</v>
      </c>
      <c r="AJ100" s="2">
        <v>0.375</v>
      </c>
      <c r="AK100" s="2">
        <v>0.375</v>
      </c>
      <c r="AL100" s="2">
        <v>0.375</v>
      </c>
      <c r="AM100" s="2">
        <v>0.375</v>
      </c>
      <c r="AN100" s="20"/>
      <c r="AO100" s="12"/>
    </row>
    <row r="101" spans="1:41">
      <c r="A101" s="1" t="s">
        <v>128</v>
      </c>
      <c r="B101" s="12" t="s">
        <v>230</v>
      </c>
      <c r="C101" s="1" t="s">
        <v>21</v>
      </c>
      <c r="D101" s="1" t="s">
        <v>157</v>
      </c>
      <c r="E101" s="1" t="s">
        <v>74</v>
      </c>
      <c r="F101" s="6">
        <v>45888</v>
      </c>
      <c r="G101" s="1" t="s">
        <v>32</v>
      </c>
      <c r="H101" s="12" t="s">
        <v>18</v>
      </c>
      <c r="I101" s="7" t="s">
        <v>8</v>
      </c>
      <c r="J101" s="2" t="s">
        <v>5</v>
      </c>
      <c r="K101" s="2" t="s">
        <v>5</v>
      </c>
      <c r="L101" s="2" t="s">
        <v>5</v>
      </c>
      <c r="M101" s="2">
        <v>0.87847222222222221</v>
      </c>
      <c r="N101" s="2">
        <v>0.875</v>
      </c>
      <c r="O101" s="2">
        <v>0.85069444444444453</v>
      </c>
      <c r="P101" s="2">
        <v>0.75</v>
      </c>
      <c r="Q101" s="2">
        <v>0.75</v>
      </c>
      <c r="R101" s="2" t="s">
        <v>5</v>
      </c>
      <c r="S101" s="2">
        <v>0.75</v>
      </c>
      <c r="T101" s="2" t="s">
        <v>5</v>
      </c>
      <c r="U101" s="2">
        <v>0.88541666666666663</v>
      </c>
      <c r="V101" s="2">
        <v>0.83333333333333337</v>
      </c>
      <c r="W101" s="2">
        <v>0.83333333333333337</v>
      </c>
      <c r="X101" s="2">
        <v>0.875</v>
      </c>
      <c r="Y101" s="2">
        <v>0.75</v>
      </c>
      <c r="Z101" s="2">
        <v>0.875</v>
      </c>
      <c r="AA101" s="2">
        <v>0.875</v>
      </c>
      <c r="AB101" s="2">
        <v>0.875</v>
      </c>
      <c r="AC101" s="2">
        <v>0.875</v>
      </c>
      <c r="AD101" s="2">
        <v>0.875</v>
      </c>
      <c r="AE101" s="2">
        <v>0.875</v>
      </c>
      <c r="AF101" s="2">
        <v>0.75</v>
      </c>
      <c r="AG101" s="2">
        <v>0.875</v>
      </c>
      <c r="AH101" s="2">
        <v>0.875</v>
      </c>
      <c r="AI101" s="2">
        <v>0.875</v>
      </c>
      <c r="AJ101" s="2">
        <v>0.875</v>
      </c>
      <c r="AK101" s="2">
        <v>0.875</v>
      </c>
      <c r="AL101" s="2">
        <v>0.875</v>
      </c>
      <c r="AM101" s="2">
        <v>0.79166666666666663</v>
      </c>
      <c r="AN101" s="20"/>
      <c r="AO101" s="12"/>
    </row>
    <row r="102" spans="1:41">
      <c r="A102" s="21" t="s">
        <v>128</v>
      </c>
      <c r="B102" s="21" t="s">
        <v>230</v>
      </c>
      <c r="C102" s="21" t="s">
        <v>21</v>
      </c>
      <c r="D102" s="21" t="s">
        <v>157</v>
      </c>
      <c r="E102" s="21" t="s">
        <v>74</v>
      </c>
      <c r="F102" s="22">
        <v>45888</v>
      </c>
      <c r="G102" s="21" t="s">
        <v>32</v>
      </c>
      <c r="H102" s="21" t="s">
        <v>18</v>
      </c>
      <c r="I102" s="23" t="s">
        <v>9</v>
      </c>
      <c r="J102" s="24" t="s">
        <v>5</v>
      </c>
      <c r="K102" s="24" t="s">
        <v>5</v>
      </c>
      <c r="L102" s="24" t="s">
        <v>5</v>
      </c>
      <c r="M102" s="24">
        <f t="shared" ref="M102" si="328">IF(AND(ISBLANK(M100),ISBLANK(M101)),"A",IFERROR(+MOD(M101-M100,1),M99))</f>
        <v>0.50347222222222221</v>
      </c>
      <c r="N102" s="24">
        <f t="shared" ref="N102" si="329">IF(AND(ISBLANK(N100),ISBLANK(N101)),"A",IFERROR(+MOD(N101-N100,1),N99))</f>
        <v>0.5</v>
      </c>
      <c r="O102" s="24">
        <f t="shared" ref="O102" si="330">IF(AND(ISBLANK(O100),ISBLANK(O101)),"A",IFERROR(+MOD(O101-O100,1),O99))</f>
        <v>0.47569444444444453</v>
      </c>
      <c r="P102" s="24">
        <f t="shared" ref="P102:Q102" si="331">IF(AND(ISBLANK(P100),ISBLANK(P101)),"A",IFERROR(+MOD(P101-P100,1),P99))</f>
        <v>0.375</v>
      </c>
      <c r="Q102" s="24">
        <f t="shared" si="331"/>
        <v>0.375</v>
      </c>
      <c r="R102" s="24" t="s">
        <v>5</v>
      </c>
      <c r="S102" s="24">
        <f t="shared" ref="S102" si="332">IF(AND(ISBLANK(S100),ISBLANK(S101)),"A",IFERROR(+MOD(S101-S100,1),S99))</f>
        <v>0.375</v>
      </c>
      <c r="T102" s="24" t="s">
        <v>5</v>
      </c>
      <c r="U102" s="24">
        <f t="shared" ref="U102" si="333">IF(AND(ISBLANK(U100),ISBLANK(U101)),"A",IFERROR(+MOD(U101-U100,1),U99))</f>
        <v>0.51041666666666663</v>
      </c>
      <c r="V102" s="24">
        <f t="shared" ref="V102" si="334">IF(AND(ISBLANK(V100),ISBLANK(V101)),"A",IFERROR(+MOD(V101-V100,1),V99))</f>
        <v>0.45833333333333337</v>
      </c>
      <c r="W102" s="24">
        <f t="shared" ref="W102" si="335">IF(AND(ISBLANK(W100),ISBLANK(W101)),"A",IFERROR(+MOD(W101-W100,1),W99))</f>
        <v>0.45833333333333337</v>
      </c>
      <c r="X102" s="24">
        <f t="shared" ref="X102" si="336">IF(AND(ISBLANK(X100),ISBLANK(X101)),"A",IFERROR(+MOD(X101-X100,1),X99))</f>
        <v>0.5</v>
      </c>
      <c r="Y102" s="24">
        <f t="shared" ref="Y102:Z102" si="337">IF(AND(ISBLANK(Y100),ISBLANK(Y101)),"A",IFERROR(+MOD(Y101-Y100,1),Y99))</f>
        <v>0.375</v>
      </c>
      <c r="Z102" s="24">
        <f t="shared" si="337"/>
        <v>0.38194444444444442</v>
      </c>
      <c r="AA102" s="24">
        <f t="shared" ref="AA102" si="338">IF(AND(ISBLANK(AA100),ISBLANK(AA101)),"A",IFERROR(+MOD(AA101-AA100,1),AA99))</f>
        <v>0.5</v>
      </c>
      <c r="AB102" s="24">
        <f t="shared" ref="AB102" si="339">IF(AND(ISBLANK(AB100),ISBLANK(AB101)),"A",IFERROR(+MOD(AB101-AB100,1),AB99))</f>
        <v>0.5</v>
      </c>
      <c r="AC102" s="24">
        <f t="shared" ref="AC102" si="340">IF(AND(ISBLANK(AC100),ISBLANK(AC101)),"A",IFERROR(+MOD(AC101-AC100,1),AC99))</f>
        <v>0.5</v>
      </c>
      <c r="AD102" s="24">
        <f t="shared" ref="AD102" si="341">IF(AND(ISBLANK(AD100),ISBLANK(AD101)),"A",IFERROR(+MOD(AD101-AD100,1),AD99))</f>
        <v>0.5</v>
      </c>
      <c r="AE102" s="24">
        <f t="shared" ref="AE102" si="342">IF(AND(ISBLANK(AE100),ISBLANK(AE101)),"A",IFERROR(+MOD(AE101-AE100,1),AE99))</f>
        <v>0.49305555555555558</v>
      </c>
      <c r="AF102" s="24">
        <f t="shared" ref="AF102" si="343">IF(AND(ISBLANK(AF100),ISBLANK(AF101)),"A",IFERROR(+MOD(AF101-AF100,1),AF99))</f>
        <v>0.3611111111111111</v>
      </c>
      <c r="AG102" s="24">
        <f t="shared" ref="AG102" si="344">IF(AND(ISBLANK(AG100),ISBLANK(AG101)),"A",IFERROR(+MOD(AG101-AG100,1),AG99))</f>
        <v>0.48958333333333331</v>
      </c>
      <c r="AH102" s="24">
        <f t="shared" ref="AH102" si="345">IF(AND(ISBLANK(AH100),ISBLANK(AH101)),"A",IFERROR(+MOD(AH101-AH100,1),AH99))</f>
        <v>0.49305555555555558</v>
      </c>
      <c r="AI102" s="24">
        <f t="shared" ref="AI102" si="346">IF(AND(ISBLANK(AI100),ISBLANK(AI101)),"A",IFERROR(+MOD(AI101-AI100,1),AI99))</f>
        <v>0.5</v>
      </c>
      <c r="AJ102" s="24">
        <f t="shared" ref="AJ102" si="347">IF(AND(ISBLANK(AJ100),ISBLANK(AJ101)),"A",IFERROR(+MOD(AJ101-AJ100,1),AJ99))</f>
        <v>0.5</v>
      </c>
      <c r="AK102" s="24">
        <f t="shared" ref="AK102" si="348">IF(AND(ISBLANK(AK100),ISBLANK(AK101)),"A",IFERROR(+MOD(AK101-AK100,1),AK99))</f>
        <v>0.5</v>
      </c>
      <c r="AL102" s="24">
        <f t="shared" ref="AL102:AM102" si="349">IF(AND(ISBLANK(AL100),ISBLANK(AL101)),"A",IFERROR(+MOD(AL101-AL100,1),AL99))</f>
        <v>0.5</v>
      </c>
      <c r="AM102" s="24">
        <f t="shared" si="349"/>
        <v>0.41666666666666663</v>
      </c>
      <c r="AN102" s="17">
        <f>COUNT(F102:AM102)</f>
        <v>26</v>
      </c>
      <c r="AO102" s="21"/>
    </row>
    <row r="103" spans="1:41">
      <c r="A103" s="8" t="s">
        <v>139</v>
      </c>
      <c r="B103" s="12" t="s">
        <v>235</v>
      </c>
      <c r="C103" s="10" t="s">
        <v>86</v>
      </c>
      <c r="D103" s="10" t="s">
        <v>42</v>
      </c>
      <c r="E103" s="10" t="s">
        <v>19</v>
      </c>
      <c r="F103" s="11">
        <v>45889</v>
      </c>
      <c r="G103" s="12" t="s">
        <v>32</v>
      </c>
      <c r="H103" s="12" t="s">
        <v>18</v>
      </c>
      <c r="I103" s="13" t="s">
        <v>4</v>
      </c>
      <c r="J103" s="2" t="s">
        <v>6</v>
      </c>
      <c r="K103" s="2" t="s">
        <v>5</v>
      </c>
      <c r="L103" s="2" t="s">
        <v>6</v>
      </c>
      <c r="M103" s="2" t="s">
        <v>6</v>
      </c>
      <c r="N103" s="2" t="s">
        <v>6</v>
      </c>
      <c r="O103" s="2" t="s">
        <v>6</v>
      </c>
      <c r="P103" s="2" t="s">
        <v>6</v>
      </c>
      <c r="Q103" s="2" t="s">
        <v>5</v>
      </c>
      <c r="R103" s="2" t="s">
        <v>5</v>
      </c>
      <c r="S103" s="2" t="s">
        <v>5</v>
      </c>
      <c r="T103" s="2" t="s">
        <v>5</v>
      </c>
      <c r="U103" s="2" t="s">
        <v>5</v>
      </c>
      <c r="V103" s="2" t="s">
        <v>5</v>
      </c>
      <c r="W103" s="2" t="s">
        <v>5</v>
      </c>
      <c r="X103" s="2" t="s">
        <v>5</v>
      </c>
      <c r="Y103" s="2" t="s">
        <v>5</v>
      </c>
      <c r="Z103" s="2" t="s">
        <v>5</v>
      </c>
      <c r="AA103" s="2" t="s">
        <v>5</v>
      </c>
      <c r="AB103" s="2" t="s">
        <v>5</v>
      </c>
      <c r="AC103" s="2" t="s">
        <v>5</v>
      </c>
      <c r="AD103" s="2" t="s">
        <v>5</v>
      </c>
      <c r="AE103" s="2" t="s">
        <v>5</v>
      </c>
      <c r="AF103" s="2" t="s">
        <v>5</v>
      </c>
      <c r="AG103" s="2" t="s">
        <v>5</v>
      </c>
      <c r="AH103" s="2" t="s">
        <v>5</v>
      </c>
      <c r="AI103" s="2" t="s">
        <v>5</v>
      </c>
      <c r="AJ103" s="2" t="s">
        <v>5</v>
      </c>
      <c r="AK103" s="2" t="s">
        <v>5</v>
      </c>
      <c r="AL103" s="2" t="s">
        <v>5</v>
      </c>
      <c r="AM103" s="2" t="s">
        <v>5</v>
      </c>
      <c r="AN103" s="20"/>
      <c r="AO103" s="12" t="s">
        <v>17</v>
      </c>
    </row>
    <row r="104" spans="1:41">
      <c r="A104" s="1" t="s">
        <v>139</v>
      </c>
      <c r="B104" s="12" t="s">
        <v>235</v>
      </c>
      <c r="C104" s="1" t="s">
        <v>86</v>
      </c>
      <c r="D104" s="1" t="s">
        <v>42</v>
      </c>
      <c r="E104" s="1" t="s">
        <v>19</v>
      </c>
      <c r="F104" s="6">
        <v>45889</v>
      </c>
      <c r="G104" s="1" t="s">
        <v>32</v>
      </c>
      <c r="H104" s="12" t="s">
        <v>18</v>
      </c>
      <c r="I104" s="7" t="s">
        <v>7</v>
      </c>
      <c r="J104" s="2">
        <v>0.375</v>
      </c>
      <c r="K104" s="2" t="s">
        <v>5</v>
      </c>
      <c r="L104" s="2">
        <v>0.375</v>
      </c>
      <c r="M104" s="2">
        <v>0.375</v>
      </c>
      <c r="N104" s="2">
        <v>0.375</v>
      </c>
      <c r="O104" s="2">
        <v>0.375</v>
      </c>
      <c r="P104" s="2">
        <v>0.375</v>
      </c>
      <c r="Q104" s="2" t="s">
        <v>5</v>
      </c>
      <c r="R104" s="2" t="s">
        <v>5</v>
      </c>
      <c r="S104" s="2" t="s">
        <v>5</v>
      </c>
      <c r="T104" s="2" t="s">
        <v>5</v>
      </c>
      <c r="U104" s="2" t="s">
        <v>5</v>
      </c>
      <c r="V104" s="2" t="s">
        <v>5</v>
      </c>
      <c r="W104" s="2" t="s">
        <v>5</v>
      </c>
      <c r="X104" s="2" t="s">
        <v>5</v>
      </c>
      <c r="Y104" s="2" t="s">
        <v>5</v>
      </c>
      <c r="Z104" s="2" t="s">
        <v>5</v>
      </c>
      <c r="AA104" s="2" t="s">
        <v>5</v>
      </c>
      <c r="AB104" s="2" t="s">
        <v>5</v>
      </c>
      <c r="AC104" s="2" t="s">
        <v>5</v>
      </c>
      <c r="AD104" s="2" t="s">
        <v>5</v>
      </c>
      <c r="AE104" s="2" t="s">
        <v>5</v>
      </c>
      <c r="AF104" s="2" t="s">
        <v>5</v>
      </c>
      <c r="AG104" s="2" t="s">
        <v>5</v>
      </c>
      <c r="AH104" s="2" t="s">
        <v>5</v>
      </c>
      <c r="AI104" s="2" t="s">
        <v>5</v>
      </c>
      <c r="AJ104" s="2" t="s">
        <v>5</v>
      </c>
      <c r="AK104" s="2" t="s">
        <v>5</v>
      </c>
      <c r="AL104" s="2" t="s">
        <v>5</v>
      </c>
      <c r="AM104" s="2" t="s">
        <v>5</v>
      </c>
      <c r="AN104" s="20"/>
      <c r="AO104" s="12"/>
    </row>
    <row r="105" spans="1:41">
      <c r="A105" s="1" t="s">
        <v>139</v>
      </c>
      <c r="B105" s="12" t="s">
        <v>235</v>
      </c>
      <c r="C105" s="1" t="s">
        <v>86</v>
      </c>
      <c r="D105" s="1" t="s">
        <v>42</v>
      </c>
      <c r="E105" s="1" t="s">
        <v>19</v>
      </c>
      <c r="F105" s="6">
        <v>45889</v>
      </c>
      <c r="G105" s="1" t="s">
        <v>32</v>
      </c>
      <c r="H105" s="12" t="s">
        <v>18</v>
      </c>
      <c r="I105" s="7" t="s">
        <v>8</v>
      </c>
      <c r="J105" s="2">
        <v>0.70833333333333337</v>
      </c>
      <c r="K105" s="2" t="s">
        <v>5</v>
      </c>
      <c r="L105" s="2">
        <v>0.75</v>
      </c>
      <c r="M105" s="2">
        <v>0.75</v>
      </c>
      <c r="N105" s="2">
        <v>0.75</v>
      </c>
      <c r="O105" s="2">
        <v>0.75</v>
      </c>
      <c r="P105" s="2">
        <v>0.75</v>
      </c>
      <c r="Q105" s="2" t="s">
        <v>5</v>
      </c>
      <c r="R105" s="2" t="s">
        <v>5</v>
      </c>
      <c r="S105" s="2" t="s">
        <v>5</v>
      </c>
      <c r="T105" s="2" t="s">
        <v>5</v>
      </c>
      <c r="U105" s="2" t="s">
        <v>5</v>
      </c>
      <c r="V105" s="2" t="s">
        <v>5</v>
      </c>
      <c r="W105" s="2" t="s">
        <v>5</v>
      </c>
      <c r="X105" s="2" t="s">
        <v>5</v>
      </c>
      <c r="Y105" s="2" t="s">
        <v>5</v>
      </c>
      <c r="Z105" s="2" t="s">
        <v>5</v>
      </c>
      <c r="AA105" s="2" t="s">
        <v>5</v>
      </c>
      <c r="AB105" s="2" t="s">
        <v>5</v>
      </c>
      <c r="AC105" s="2" t="s">
        <v>5</v>
      </c>
      <c r="AD105" s="2" t="s">
        <v>5</v>
      </c>
      <c r="AE105" s="2" t="s">
        <v>5</v>
      </c>
      <c r="AF105" s="2" t="s">
        <v>5</v>
      </c>
      <c r="AG105" s="2" t="s">
        <v>5</v>
      </c>
      <c r="AH105" s="2" t="s">
        <v>5</v>
      </c>
      <c r="AI105" s="2" t="s">
        <v>5</v>
      </c>
      <c r="AJ105" s="2" t="s">
        <v>5</v>
      </c>
      <c r="AK105" s="2" t="s">
        <v>5</v>
      </c>
      <c r="AL105" s="2" t="s">
        <v>5</v>
      </c>
      <c r="AM105" s="2" t="s">
        <v>5</v>
      </c>
      <c r="AN105" s="20"/>
      <c r="AO105" s="12"/>
    </row>
    <row r="106" spans="1:41">
      <c r="A106" s="21" t="s">
        <v>139</v>
      </c>
      <c r="B106" s="21" t="s">
        <v>235</v>
      </c>
      <c r="C106" s="21" t="s">
        <v>86</v>
      </c>
      <c r="D106" s="21" t="s">
        <v>42</v>
      </c>
      <c r="E106" s="21" t="s">
        <v>19</v>
      </c>
      <c r="F106" s="22">
        <v>45889</v>
      </c>
      <c r="G106" s="21" t="s">
        <v>32</v>
      </c>
      <c r="H106" s="21" t="s">
        <v>18</v>
      </c>
      <c r="I106" s="23" t="s">
        <v>9</v>
      </c>
      <c r="J106" s="24">
        <f>IF(AND(ISBLANK(J104),ISBLANK(J105)),"A",IFERROR(+MOD(J105-J104,1),J103))</f>
        <v>0.33333333333333337</v>
      </c>
      <c r="K106" s="24" t="s">
        <v>5</v>
      </c>
      <c r="L106" s="24">
        <f t="shared" ref="L106" si="350">IF(AND(ISBLANK(L104),ISBLANK(L105)),"A",IFERROR(+MOD(L105-L104,1),L103))</f>
        <v>0.375</v>
      </c>
      <c r="M106" s="24">
        <f t="shared" ref="M106:N106" si="351">IF(AND(ISBLANK(M104),ISBLANK(M105)),"A",IFERROR(+MOD(M105-M104,1),M103))</f>
        <v>0.375</v>
      </c>
      <c r="N106" s="24">
        <f t="shared" si="351"/>
        <v>0.375</v>
      </c>
      <c r="O106" s="24">
        <f t="shared" ref="O106" si="352">IF(AND(ISBLANK(O104),ISBLANK(O105)),"A",IFERROR(+MOD(O105-O104,1),O103))</f>
        <v>0.375</v>
      </c>
      <c r="P106" s="24">
        <f t="shared" ref="P106" si="353">IF(AND(ISBLANK(P104),ISBLANK(P105)),"A",IFERROR(+MOD(P105-P104,1),P103))</f>
        <v>0.375</v>
      </c>
      <c r="Q106" s="24" t="s">
        <v>5</v>
      </c>
      <c r="R106" s="24" t="s">
        <v>5</v>
      </c>
      <c r="S106" s="24" t="s">
        <v>5</v>
      </c>
      <c r="T106" s="24" t="s">
        <v>5</v>
      </c>
      <c r="U106" s="24" t="s">
        <v>5</v>
      </c>
      <c r="V106" s="24" t="s">
        <v>5</v>
      </c>
      <c r="W106" s="24" t="s">
        <v>5</v>
      </c>
      <c r="X106" s="24" t="s">
        <v>5</v>
      </c>
      <c r="Y106" s="24" t="s">
        <v>5</v>
      </c>
      <c r="Z106" s="24" t="s">
        <v>5</v>
      </c>
      <c r="AA106" s="24" t="s">
        <v>5</v>
      </c>
      <c r="AB106" s="24" t="s">
        <v>5</v>
      </c>
      <c r="AC106" s="24" t="s">
        <v>5</v>
      </c>
      <c r="AD106" s="24" t="s">
        <v>5</v>
      </c>
      <c r="AE106" s="24" t="s">
        <v>5</v>
      </c>
      <c r="AF106" s="24" t="s">
        <v>5</v>
      </c>
      <c r="AG106" s="24" t="s">
        <v>5</v>
      </c>
      <c r="AH106" s="24" t="s">
        <v>5</v>
      </c>
      <c r="AI106" s="24" t="s">
        <v>5</v>
      </c>
      <c r="AJ106" s="24" t="s">
        <v>5</v>
      </c>
      <c r="AK106" s="24" t="s">
        <v>5</v>
      </c>
      <c r="AL106" s="24" t="s">
        <v>5</v>
      </c>
      <c r="AM106" s="24" t="s">
        <v>5</v>
      </c>
      <c r="AN106" s="17">
        <f>COUNT(F106:AM106)</f>
        <v>7</v>
      </c>
      <c r="AO106" s="21"/>
    </row>
    <row r="107" spans="1:41">
      <c r="A107" s="8" t="s">
        <v>114</v>
      </c>
      <c r="B107" s="12" t="s">
        <v>230</v>
      </c>
      <c r="C107" s="10" t="s">
        <v>59</v>
      </c>
      <c r="D107" s="10" t="s">
        <v>157</v>
      </c>
      <c r="E107" s="10" t="s">
        <v>60</v>
      </c>
      <c r="F107" s="11">
        <v>45890</v>
      </c>
      <c r="G107" s="12" t="s">
        <v>32</v>
      </c>
      <c r="H107" s="12" t="s">
        <v>18</v>
      </c>
      <c r="I107" s="13" t="s">
        <v>4</v>
      </c>
      <c r="J107" s="2" t="s">
        <v>6</v>
      </c>
      <c r="K107" s="2" t="s">
        <v>5</v>
      </c>
      <c r="L107" s="2" t="s">
        <v>6</v>
      </c>
      <c r="M107" s="2" t="s">
        <v>6</v>
      </c>
      <c r="N107" s="2" t="s">
        <v>6</v>
      </c>
      <c r="O107" s="2" t="s">
        <v>6</v>
      </c>
      <c r="P107" s="2" t="s">
        <v>6</v>
      </c>
      <c r="Q107" s="2" t="s">
        <v>6</v>
      </c>
      <c r="R107" s="2" t="s">
        <v>5</v>
      </c>
      <c r="S107" s="2" t="s">
        <v>6</v>
      </c>
      <c r="T107" s="2" t="s">
        <v>6</v>
      </c>
      <c r="U107" s="2" t="s">
        <v>6</v>
      </c>
      <c r="V107" s="2" t="s">
        <v>6</v>
      </c>
      <c r="W107" s="2" t="s">
        <v>6</v>
      </c>
      <c r="X107" s="2" t="s">
        <v>6</v>
      </c>
      <c r="Y107" s="2" t="s">
        <v>5</v>
      </c>
      <c r="Z107" s="2" t="s">
        <v>6</v>
      </c>
      <c r="AA107" s="2" t="s">
        <v>6</v>
      </c>
      <c r="AB107" s="2" t="s">
        <v>6</v>
      </c>
      <c r="AC107" s="2" t="s">
        <v>6</v>
      </c>
      <c r="AD107" s="2" t="s">
        <v>6</v>
      </c>
      <c r="AE107" s="2" t="s">
        <v>6</v>
      </c>
      <c r="AF107" s="2" t="s">
        <v>5</v>
      </c>
      <c r="AG107" s="2" t="s">
        <v>5</v>
      </c>
      <c r="AH107" s="2" t="s">
        <v>6</v>
      </c>
      <c r="AI107" s="2" t="s">
        <v>6</v>
      </c>
      <c r="AJ107" s="2" t="s">
        <v>6</v>
      </c>
      <c r="AK107" s="2" t="s">
        <v>6</v>
      </c>
      <c r="AL107" s="2" t="s">
        <v>6</v>
      </c>
      <c r="AM107" s="2" t="s">
        <v>6</v>
      </c>
      <c r="AN107" s="20"/>
      <c r="AO107" s="12" t="s">
        <v>18</v>
      </c>
    </row>
    <row r="108" spans="1:41">
      <c r="A108" s="1" t="s">
        <v>114</v>
      </c>
      <c r="B108" s="12" t="s">
        <v>230</v>
      </c>
      <c r="C108" s="1" t="s">
        <v>59</v>
      </c>
      <c r="D108" s="1" t="s">
        <v>157</v>
      </c>
      <c r="E108" s="1" t="s">
        <v>60</v>
      </c>
      <c r="F108" s="6">
        <v>45890</v>
      </c>
      <c r="G108" s="1" t="s">
        <v>32</v>
      </c>
      <c r="H108" s="12" t="s">
        <v>18</v>
      </c>
      <c r="I108" s="7" t="s">
        <v>7</v>
      </c>
      <c r="J108" s="2">
        <v>0.375</v>
      </c>
      <c r="K108" s="2" t="s">
        <v>5</v>
      </c>
      <c r="L108" s="2">
        <v>0.375</v>
      </c>
      <c r="M108" s="2">
        <v>0.375</v>
      </c>
      <c r="N108" s="2">
        <v>0.375</v>
      </c>
      <c r="O108" s="2">
        <v>0.375</v>
      </c>
      <c r="P108" s="2">
        <v>0.375</v>
      </c>
      <c r="Q108" s="2">
        <v>0.375</v>
      </c>
      <c r="R108" s="2" t="s">
        <v>5</v>
      </c>
      <c r="S108" s="2">
        <v>0.375</v>
      </c>
      <c r="T108" s="2">
        <v>0.375</v>
      </c>
      <c r="U108" s="2">
        <v>0.375</v>
      </c>
      <c r="V108" s="2">
        <v>0.375</v>
      </c>
      <c r="W108" s="2">
        <v>0.375</v>
      </c>
      <c r="X108" s="2">
        <v>0.375</v>
      </c>
      <c r="Y108" s="2" t="s">
        <v>5</v>
      </c>
      <c r="Z108" s="2">
        <v>0.375</v>
      </c>
      <c r="AA108" s="2">
        <v>0.375</v>
      </c>
      <c r="AB108" s="2">
        <v>0.375</v>
      </c>
      <c r="AC108" s="2">
        <v>0.375</v>
      </c>
      <c r="AD108" s="2">
        <v>0.375</v>
      </c>
      <c r="AE108" s="2">
        <v>0.375</v>
      </c>
      <c r="AF108" s="2" t="s">
        <v>5</v>
      </c>
      <c r="AG108" s="2" t="s">
        <v>5</v>
      </c>
      <c r="AH108" s="2">
        <v>0.38194444444444442</v>
      </c>
      <c r="AI108" s="2">
        <v>0.375</v>
      </c>
      <c r="AJ108" s="2">
        <v>0.375</v>
      </c>
      <c r="AK108" s="2">
        <v>0.375</v>
      </c>
      <c r="AL108" s="2">
        <v>0.375</v>
      </c>
      <c r="AM108" s="2">
        <v>0.375</v>
      </c>
      <c r="AN108" s="20"/>
      <c r="AO108" s="12"/>
    </row>
    <row r="109" spans="1:41">
      <c r="A109" s="1" t="s">
        <v>114</v>
      </c>
      <c r="B109" s="12" t="s">
        <v>230</v>
      </c>
      <c r="C109" s="1" t="s">
        <v>59</v>
      </c>
      <c r="D109" s="1" t="s">
        <v>157</v>
      </c>
      <c r="E109" s="1" t="s">
        <v>60</v>
      </c>
      <c r="F109" s="6">
        <v>45890</v>
      </c>
      <c r="G109" s="1" t="s">
        <v>32</v>
      </c>
      <c r="H109" s="12" t="s">
        <v>18</v>
      </c>
      <c r="I109" s="7" t="s">
        <v>8</v>
      </c>
      <c r="J109" s="2">
        <v>0.85763888888888884</v>
      </c>
      <c r="K109" s="2" t="s">
        <v>5</v>
      </c>
      <c r="L109" s="2">
        <v>0.84722222222222221</v>
      </c>
      <c r="M109" s="2">
        <v>0.87847222222222221</v>
      </c>
      <c r="N109" s="2">
        <v>0.87847222222222221</v>
      </c>
      <c r="O109" s="2">
        <v>0.85069444444444453</v>
      </c>
      <c r="P109" s="2">
        <v>0.75</v>
      </c>
      <c r="Q109" s="2">
        <v>0.88263888888888886</v>
      </c>
      <c r="R109" s="2" t="s">
        <v>5</v>
      </c>
      <c r="S109" s="2">
        <v>0.875</v>
      </c>
      <c r="T109" s="2">
        <v>0.84722222222222221</v>
      </c>
      <c r="U109" s="2">
        <v>0.88541666666666663</v>
      </c>
      <c r="V109" s="2">
        <v>0.83333333333333337</v>
      </c>
      <c r="W109" s="2">
        <v>0.875</v>
      </c>
      <c r="X109" s="2">
        <v>0.875</v>
      </c>
      <c r="Y109" s="2" t="s">
        <v>5</v>
      </c>
      <c r="Z109" s="2">
        <v>0.875</v>
      </c>
      <c r="AA109" s="2">
        <v>0.64583333333333337</v>
      </c>
      <c r="AB109" s="2">
        <v>0.875</v>
      </c>
      <c r="AC109" s="2">
        <v>0.875</v>
      </c>
      <c r="AD109" s="2">
        <v>0.875</v>
      </c>
      <c r="AE109" s="2">
        <v>0.75</v>
      </c>
      <c r="AF109" s="2" t="s">
        <v>5</v>
      </c>
      <c r="AG109" s="2" t="s">
        <v>5</v>
      </c>
      <c r="AH109" s="2">
        <v>0.875</v>
      </c>
      <c r="AI109" s="2">
        <v>0.875</v>
      </c>
      <c r="AJ109" s="2">
        <v>0.875</v>
      </c>
      <c r="AK109" s="2">
        <v>0.875</v>
      </c>
      <c r="AL109" s="2">
        <v>0.875</v>
      </c>
      <c r="AM109" s="2">
        <v>0.79166666666666663</v>
      </c>
      <c r="AN109" s="20"/>
      <c r="AO109" s="12"/>
    </row>
    <row r="110" spans="1:41">
      <c r="A110" s="21" t="s">
        <v>114</v>
      </c>
      <c r="B110" s="21" t="s">
        <v>230</v>
      </c>
      <c r="C110" s="21" t="s">
        <v>59</v>
      </c>
      <c r="D110" s="21" t="s">
        <v>157</v>
      </c>
      <c r="E110" s="21" t="s">
        <v>60</v>
      </c>
      <c r="F110" s="22">
        <v>45890</v>
      </c>
      <c r="G110" s="21" t="s">
        <v>32</v>
      </c>
      <c r="H110" s="21" t="s">
        <v>18</v>
      </c>
      <c r="I110" s="23" t="s">
        <v>9</v>
      </c>
      <c r="J110" s="24">
        <f>IF(AND(ISBLANK(J108),ISBLANK(J109)),"A",IFERROR(+MOD(J109-J108,1),J107))</f>
        <v>0.48263888888888884</v>
      </c>
      <c r="K110" s="24" t="s">
        <v>5</v>
      </c>
      <c r="L110" s="24">
        <f t="shared" ref="L110" si="354">IF(AND(ISBLANK(L108),ISBLANK(L109)),"A",IFERROR(+MOD(L109-L108,1),L107))</f>
        <v>0.47222222222222221</v>
      </c>
      <c r="M110" s="24">
        <f t="shared" ref="M110:N110" si="355">IF(AND(ISBLANK(M108),ISBLANK(M109)),"A",IFERROR(+MOD(M109-M108,1),M107))</f>
        <v>0.50347222222222221</v>
      </c>
      <c r="N110" s="24">
        <f t="shared" si="355"/>
        <v>0.50347222222222221</v>
      </c>
      <c r="O110" s="24">
        <f t="shared" ref="O110" si="356">IF(AND(ISBLANK(O108),ISBLANK(O109)),"A",IFERROR(+MOD(O109-O108,1),O107))</f>
        <v>0.47569444444444453</v>
      </c>
      <c r="P110" s="24">
        <f t="shared" ref="P110" si="357">IF(AND(ISBLANK(P108),ISBLANK(P109)),"A",IFERROR(+MOD(P109-P108,1),P107))</f>
        <v>0.375</v>
      </c>
      <c r="Q110" s="24">
        <f t="shared" ref="Q110" si="358">IF(AND(ISBLANK(Q108),ISBLANK(Q109)),"A",IFERROR(+MOD(Q109-Q108,1),Q107))</f>
        <v>0.50763888888888886</v>
      </c>
      <c r="R110" s="24" t="s">
        <v>5</v>
      </c>
      <c r="S110" s="24">
        <f t="shared" ref="S110" si="359">IF(AND(ISBLANK(S108),ISBLANK(S109)),"A",IFERROR(+MOD(S109-S108,1),S107))</f>
        <v>0.5</v>
      </c>
      <c r="T110" s="24">
        <f t="shared" ref="T110" si="360">IF(AND(ISBLANK(T108),ISBLANK(T109)),"A",IFERROR(+MOD(T109-T108,1),T107))</f>
        <v>0.47222222222222221</v>
      </c>
      <c r="U110" s="24">
        <f t="shared" ref="U110" si="361">IF(AND(ISBLANK(U108),ISBLANK(U109)),"A",IFERROR(+MOD(U109-U108,1),U107))</f>
        <v>0.51041666666666663</v>
      </c>
      <c r="V110" s="24">
        <f t="shared" ref="V110" si="362">IF(AND(ISBLANK(V108),ISBLANK(V109)),"A",IFERROR(+MOD(V109-V108,1),V107))</f>
        <v>0.45833333333333337</v>
      </c>
      <c r="W110" s="24">
        <f t="shared" ref="W110" si="363">IF(AND(ISBLANK(W108),ISBLANK(W109)),"A",IFERROR(+MOD(W109-W108,1),W107))</f>
        <v>0.5</v>
      </c>
      <c r="X110" s="24">
        <f t="shared" ref="X110" si="364">IF(AND(ISBLANK(X108),ISBLANK(X109)),"A",IFERROR(+MOD(X109-X108,1),X107))</f>
        <v>0.5</v>
      </c>
      <c r="Y110" s="24" t="s">
        <v>5</v>
      </c>
      <c r="Z110" s="24">
        <f t="shared" ref="Z110" si="365">IF(AND(ISBLANK(Z108),ISBLANK(Z109)),"A",IFERROR(+MOD(Z109-Z108,1),Z107))</f>
        <v>0.5</v>
      </c>
      <c r="AA110" s="24">
        <f t="shared" ref="AA110" si="366">IF(AND(ISBLANK(AA108),ISBLANK(AA109)),"A",IFERROR(+MOD(AA109-AA108,1),AA107))</f>
        <v>0.27083333333333337</v>
      </c>
      <c r="AB110" s="24">
        <f t="shared" ref="AB110" si="367">IF(AND(ISBLANK(AB108),ISBLANK(AB109)),"A",IFERROR(+MOD(AB109-AB108,1),AB107))</f>
        <v>0.5</v>
      </c>
      <c r="AC110" s="24">
        <f t="shared" ref="AC110" si="368">IF(AND(ISBLANK(AC108),ISBLANK(AC109)),"A",IFERROR(+MOD(AC109-AC108,1),AC107))</f>
        <v>0.5</v>
      </c>
      <c r="AD110" s="24">
        <f t="shared" ref="AD110" si="369">IF(AND(ISBLANK(AD108),ISBLANK(AD109)),"A",IFERROR(+MOD(AD109-AD108,1),AD107))</f>
        <v>0.5</v>
      </c>
      <c r="AE110" s="24">
        <f t="shared" ref="AE110" si="370">IF(AND(ISBLANK(AE108),ISBLANK(AE109)),"A",IFERROR(+MOD(AE109-AE108,1),AE107))</f>
        <v>0.375</v>
      </c>
      <c r="AF110" s="24" t="s">
        <v>5</v>
      </c>
      <c r="AG110" s="24" t="s">
        <v>5</v>
      </c>
      <c r="AH110" s="24">
        <f t="shared" ref="AH110" si="371">IF(AND(ISBLANK(AH108),ISBLANK(AH109)),"A",IFERROR(+MOD(AH109-AH108,1),AH107))</f>
        <v>0.49305555555555558</v>
      </c>
      <c r="AI110" s="24">
        <f t="shared" ref="AI110" si="372">IF(AND(ISBLANK(AI108),ISBLANK(AI109)),"A",IFERROR(+MOD(AI109-AI108,1),AI107))</f>
        <v>0.5</v>
      </c>
      <c r="AJ110" s="24">
        <f t="shared" ref="AJ110" si="373">IF(AND(ISBLANK(AJ108),ISBLANK(AJ109)),"A",IFERROR(+MOD(AJ109-AJ108,1),AJ107))</f>
        <v>0.5</v>
      </c>
      <c r="AK110" s="24">
        <f t="shared" ref="AK110" si="374">IF(AND(ISBLANK(AK108),ISBLANK(AK109)),"A",IFERROR(+MOD(AK109-AK108,1),AK107))</f>
        <v>0.5</v>
      </c>
      <c r="AL110" s="24">
        <f t="shared" ref="AL110:AM110" si="375">IF(AND(ISBLANK(AL108),ISBLANK(AL109)),"A",IFERROR(+MOD(AL109-AL108,1),AL107))</f>
        <v>0.5</v>
      </c>
      <c r="AM110" s="24">
        <f t="shared" si="375"/>
        <v>0.41666666666666663</v>
      </c>
      <c r="AN110" s="17">
        <f>COUNT(F110:AM110)</f>
        <v>26</v>
      </c>
      <c r="AO110" s="21"/>
    </row>
    <row r="111" spans="1:41">
      <c r="A111" s="8" t="s">
        <v>124</v>
      </c>
      <c r="B111" s="12" t="s">
        <v>231</v>
      </c>
      <c r="C111" s="10" t="s">
        <v>22</v>
      </c>
      <c r="D111" s="10" t="s">
        <v>42</v>
      </c>
      <c r="E111" s="10" t="s">
        <v>23</v>
      </c>
      <c r="F111" s="11">
        <v>45891</v>
      </c>
      <c r="G111" s="12" t="s">
        <v>32</v>
      </c>
      <c r="H111" s="12" t="s">
        <v>18</v>
      </c>
      <c r="I111" s="13" t="s">
        <v>4</v>
      </c>
      <c r="J111" s="2" t="s">
        <v>5</v>
      </c>
      <c r="K111" s="2" t="s">
        <v>5</v>
      </c>
      <c r="L111" s="2" t="s">
        <v>5</v>
      </c>
      <c r="M111" s="2" t="s">
        <v>5</v>
      </c>
      <c r="N111" s="2" t="s">
        <v>5</v>
      </c>
      <c r="O111" s="2" t="s">
        <v>5</v>
      </c>
      <c r="P111" s="2" t="s">
        <v>5</v>
      </c>
      <c r="Q111" s="2" t="s">
        <v>6</v>
      </c>
      <c r="R111" s="2" t="s">
        <v>5</v>
      </c>
      <c r="S111" s="2" t="s">
        <v>6</v>
      </c>
      <c r="T111" s="2" t="s">
        <v>6</v>
      </c>
      <c r="U111" s="2" t="s">
        <v>6</v>
      </c>
      <c r="V111" s="2" t="s">
        <v>5</v>
      </c>
      <c r="W111" s="2" t="s">
        <v>5</v>
      </c>
      <c r="X111" s="2" t="s">
        <v>5</v>
      </c>
      <c r="Y111" s="2" t="s">
        <v>5</v>
      </c>
      <c r="Z111" s="2" t="s">
        <v>5</v>
      </c>
      <c r="AA111" s="2" t="s">
        <v>5</v>
      </c>
      <c r="AB111" s="2" t="s">
        <v>5</v>
      </c>
      <c r="AC111" s="2" t="s">
        <v>5</v>
      </c>
      <c r="AD111" s="2" t="s">
        <v>5</v>
      </c>
      <c r="AE111" s="2" t="s">
        <v>5</v>
      </c>
      <c r="AF111" s="2" t="s">
        <v>5</v>
      </c>
      <c r="AG111" s="2" t="s">
        <v>5</v>
      </c>
      <c r="AH111" s="2" t="s">
        <v>5</v>
      </c>
      <c r="AI111" s="2" t="s">
        <v>5</v>
      </c>
      <c r="AJ111" s="2" t="s">
        <v>5</v>
      </c>
      <c r="AK111" s="2" t="s">
        <v>5</v>
      </c>
      <c r="AL111" s="2" t="s">
        <v>5</v>
      </c>
      <c r="AM111" s="2" t="s">
        <v>5</v>
      </c>
      <c r="AN111" s="20"/>
      <c r="AO111" s="12" t="s">
        <v>17</v>
      </c>
    </row>
    <row r="112" spans="1:41">
      <c r="A112" s="1" t="s">
        <v>124</v>
      </c>
      <c r="B112" s="12" t="s">
        <v>231</v>
      </c>
      <c r="C112" s="1" t="s">
        <v>22</v>
      </c>
      <c r="D112" s="1" t="s">
        <v>42</v>
      </c>
      <c r="E112" s="1" t="s">
        <v>23</v>
      </c>
      <c r="F112" s="6">
        <v>45891</v>
      </c>
      <c r="G112" s="1" t="s">
        <v>32</v>
      </c>
      <c r="H112" s="12" t="s">
        <v>18</v>
      </c>
      <c r="I112" s="7" t="s">
        <v>7</v>
      </c>
      <c r="J112" s="2" t="s">
        <v>5</v>
      </c>
      <c r="K112" s="2" t="s">
        <v>5</v>
      </c>
      <c r="L112" s="2" t="s">
        <v>5</v>
      </c>
      <c r="M112" s="2" t="s">
        <v>5</v>
      </c>
      <c r="N112" s="2" t="s">
        <v>5</v>
      </c>
      <c r="O112" s="2" t="s">
        <v>5</v>
      </c>
      <c r="P112" s="2" t="s">
        <v>5</v>
      </c>
      <c r="Q112" s="2">
        <v>0.375</v>
      </c>
      <c r="R112" s="2" t="s">
        <v>5</v>
      </c>
      <c r="S112" s="2">
        <v>0.375</v>
      </c>
      <c r="T112" s="2">
        <v>0.375</v>
      </c>
      <c r="U112" s="2">
        <v>0.375</v>
      </c>
      <c r="V112" s="2" t="s">
        <v>5</v>
      </c>
      <c r="W112" s="2" t="s">
        <v>5</v>
      </c>
      <c r="X112" s="2" t="s">
        <v>5</v>
      </c>
      <c r="Y112" s="2" t="s">
        <v>5</v>
      </c>
      <c r="Z112" s="2" t="s">
        <v>5</v>
      </c>
      <c r="AA112" s="2" t="s">
        <v>5</v>
      </c>
      <c r="AB112" s="2" t="s">
        <v>5</v>
      </c>
      <c r="AC112" s="2" t="s">
        <v>5</v>
      </c>
      <c r="AD112" s="2" t="s">
        <v>5</v>
      </c>
      <c r="AE112" s="2" t="s">
        <v>5</v>
      </c>
      <c r="AF112" s="2" t="s">
        <v>5</v>
      </c>
      <c r="AG112" s="2" t="s">
        <v>5</v>
      </c>
      <c r="AH112" s="2" t="s">
        <v>5</v>
      </c>
      <c r="AI112" s="2" t="s">
        <v>5</v>
      </c>
      <c r="AJ112" s="2" t="s">
        <v>5</v>
      </c>
      <c r="AK112" s="2" t="s">
        <v>5</v>
      </c>
      <c r="AL112" s="2" t="s">
        <v>5</v>
      </c>
      <c r="AM112" s="2" t="s">
        <v>5</v>
      </c>
      <c r="AN112" s="20"/>
      <c r="AO112" s="12"/>
    </row>
    <row r="113" spans="1:41">
      <c r="A113" s="1" t="s">
        <v>124</v>
      </c>
      <c r="B113" s="12" t="s">
        <v>231</v>
      </c>
      <c r="C113" s="1" t="s">
        <v>22</v>
      </c>
      <c r="D113" s="1" t="s">
        <v>42</v>
      </c>
      <c r="E113" s="1" t="s">
        <v>23</v>
      </c>
      <c r="F113" s="6">
        <v>45891</v>
      </c>
      <c r="G113" s="1" t="s">
        <v>32</v>
      </c>
      <c r="H113" s="12" t="s">
        <v>18</v>
      </c>
      <c r="I113" s="7" t="s">
        <v>8</v>
      </c>
      <c r="J113" s="2" t="s">
        <v>5</v>
      </c>
      <c r="K113" s="2" t="s">
        <v>5</v>
      </c>
      <c r="L113" s="2" t="s">
        <v>5</v>
      </c>
      <c r="M113" s="2" t="s">
        <v>5</v>
      </c>
      <c r="N113" s="2" t="s">
        <v>5</v>
      </c>
      <c r="O113" s="2" t="s">
        <v>5</v>
      </c>
      <c r="P113" s="2" t="s">
        <v>5</v>
      </c>
      <c r="Q113" s="2">
        <v>0.75</v>
      </c>
      <c r="R113" s="2" t="s">
        <v>5</v>
      </c>
      <c r="S113" s="2">
        <v>0.75</v>
      </c>
      <c r="T113" s="2">
        <v>0.67708333333333337</v>
      </c>
      <c r="U113" s="2">
        <v>0.75</v>
      </c>
      <c r="V113" s="2" t="s">
        <v>5</v>
      </c>
      <c r="W113" s="2" t="s">
        <v>5</v>
      </c>
      <c r="X113" s="2" t="s">
        <v>5</v>
      </c>
      <c r="Y113" s="2" t="s">
        <v>5</v>
      </c>
      <c r="Z113" s="2" t="s">
        <v>5</v>
      </c>
      <c r="AA113" s="2" t="s">
        <v>5</v>
      </c>
      <c r="AB113" s="2" t="s">
        <v>5</v>
      </c>
      <c r="AC113" s="2" t="s">
        <v>5</v>
      </c>
      <c r="AD113" s="2" t="s">
        <v>5</v>
      </c>
      <c r="AE113" s="2" t="s">
        <v>5</v>
      </c>
      <c r="AF113" s="2" t="s">
        <v>5</v>
      </c>
      <c r="AG113" s="2" t="s">
        <v>5</v>
      </c>
      <c r="AH113" s="2" t="s">
        <v>5</v>
      </c>
      <c r="AI113" s="2" t="s">
        <v>5</v>
      </c>
      <c r="AJ113" s="2" t="s">
        <v>5</v>
      </c>
      <c r="AK113" s="2" t="s">
        <v>5</v>
      </c>
      <c r="AL113" s="2" t="s">
        <v>5</v>
      </c>
      <c r="AM113" s="2" t="s">
        <v>5</v>
      </c>
      <c r="AN113" s="20"/>
      <c r="AO113" s="12"/>
    </row>
    <row r="114" spans="1:41">
      <c r="A114" s="21" t="s">
        <v>124</v>
      </c>
      <c r="B114" s="21" t="s">
        <v>231</v>
      </c>
      <c r="C114" s="21" t="s">
        <v>22</v>
      </c>
      <c r="D114" s="21" t="s">
        <v>42</v>
      </c>
      <c r="E114" s="21" t="s">
        <v>23</v>
      </c>
      <c r="F114" s="22">
        <v>45891</v>
      </c>
      <c r="G114" s="21" t="s">
        <v>32</v>
      </c>
      <c r="H114" s="21" t="s">
        <v>18</v>
      </c>
      <c r="I114" s="23" t="s">
        <v>9</v>
      </c>
      <c r="J114" s="24" t="s">
        <v>5</v>
      </c>
      <c r="K114" s="24" t="s">
        <v>5</v>
      </c>
      <c r="L114" s="24" t="s">
        <v>5</v>
      </c>
      <c r="M114" s="24" t="s">
        <v>5</v>
      </c>
      <c r="N114" s="24" t="s">
        <v>5</v>
      </c>
      <c r="O114" s="24" t="s">
        <v>5</v>
      </c>
      <c r="P114" s="24" t="s">
        <v>5</v>
      </c>
      <c r="Q114" s="24">
        <f t="shared" ref="Q114" si="376">IF(AND(ISBLANK(Q112),ISBLANK(Q113)),"A",IFERROR(+MOD(Q113-Q112,1),Q111))</f>
        <v>0.375</v>
      </c>
      <c r="R114" s="24" t="s">
        <v>5</v>
      </c>
      <c r="S114" s="24">
        <f t="shared" ref="S114:T114" si="377">IF(AND(ISBLANK(S112),ISBLANK(S113)),"A",IFERROR(+MOD(S113-S112,1),S111))</f>
        <v>0.375</v>
      </c>
      <c r="T114" s="24">
        <f t="shared" si="377"/>
        <v>0.30208333333333337</v>
      </c>
      <c r="U114" s="24">
        <f t="shared" ref="U114" si="378">IF(AND(ISBLANK(U112),ISBLANK(U113)),"A",IFERROR(+MOD(U113-U112,1),U111))</f>
        <v>0.375</v>
      </c>
      <c r="V114" s="24" t="s">
        <v>5</v>
      </c>
      <c r="W114" s="24" t="s">
        <v>5</v>
      </c>
      <c r="X114" s="24" t="s">
        <v>5</v>
      </c>
      <c r="Y114" s="24" t="s">
        <v>5</v>
      </c>
      <c r="Z114" s="24" t="s">
        <v>5</v>
      </c>
      <c r="AA114" s="24" t="s">
        <v>5</v>
      </c>
      <c r="AB114" s="24" t="s">
        <v>5</v>
      </c>
      <c r="AC114" s="24" t="s">
        <v>5</v>
      </c>
      <c r="AD114" s="24" t="s">
        <v>5</v>
      </c>
      <c r="AE114" s="24" t="s">
        <v>5</v>
      </c>
      <c r="AF114" s="24" t="s">
        <v>5</v>
      </c>
      <c r="AG114" s="24" t="s">
        <v>5</v>
      </c>
      <c r="AH114" s="24" t="s">
        <v>5</v>
      </c>
      <c r="AI114" s="24" t="s">
        <v>5</v>
      </c>
      <c r="AJ114" s="24" t="s">
        <v>5</v>
      </c>
      <c r="AK114" s="24" t="s">
        <v>5</v>
      </c>
      <c r="AL114" s="24" t="s">
        <v>5</v>
      </c>
      <c r="AM114" s="24" t="s">
        <v>5</v>
      </c>
      <c r="AN114" s="17">
        <f>COUNT(F114:AM114)</f>
        <v>5</v>
      </c>
      <c r="AO114" s="21"/>
    </row>
    <row r="115" spans="1:41">
      <c r="A115" s="8" t="s">
        <v>116</v>
      </c>
      <c r="B115" s="12" t="s">
        <v>232</v>
      </c>
      <c r="C115" s="10" t="s">
        <v>14</v>
      </c>
      <c r="D115" s="10" t="s">
        <v>42</v>
      </c>
      <c r="E115" s="10" t="s">
        <v>24</v>
      </c>
      <c r="F115" s="11">
        <v>45891</v>
      </c>
      <c r="G115" s="12" t="s">
        <v>32</v>
      </c>
      <c r="H115" s="12" t="s">
        <v>18</v>
      </c>
      <c r="I115" s="13" t="s">
        <v>4</v>
      </c>
      <c r="J115" s="2" t="s">
        <v>6</v>
      </c>
      <c r="K115" s="2" t="s">
        <v>6</v>
      </c>
      <c r="L115" s="2" t="s">
        <v>6</v>
      </c>
      <c r="M115" s="2" t="s">
        <v>6</v>
      </c>
      <c r="N115" s="2" t="s">
        <v>6</v>
      </c>
      <c r="O115" s="2" t="s">
        <v>6</v>
      </c>
      <c r="P115" s="2" t="s">
        <v>6</v>
      </c>
      <c r="Q115" s="2" t="s">
        <v>6</v>
      </c>
      <c r="R115" s="2" t="s">
        <v>5</v>
      </c>
      <c r="S115" s="2" t="s">
        <v>6</v>
      </c>
      <c r="T115" s="2" t="s">
        <v>6</v>
      </c>
      <c r="U115" s="2" t="s">
        <v>6</v>
      </c>
      <c r="V115" s="2" t="s">
        <v>6</v>
      </c>
      <c r="W115" s="2" t="s">
        <v>5</v>
      </c>
      <c r="X115" s="2" t="s">
        <v>6</v>
      </c>
      <c r="Y115" s="2" t="s">
        <v>6</v>
      </c>
      <c r="Z115" s="2" t="s">
        <v>6</v>
      </c>
      <c r="AA115" s="2" t="s">
        <v>5</v>
      </c>
      <c r="AB115" s="2" t="s">
        <v>6</v>
      </c>
      <c r="AC115" s="2" t="s">
        <v>6</v>
      </c>
      <c r="AD115" s="2" t="s">
        <v>6</v>
      </c>
      <c r="AE115" s="2" t="s">
        <v>5</v>
      </c>
      <c r="AF115" s="2" t="s">
        <v>6</v>
      </c>
      <c r="AG115" s="2" t="s">
        <v>6</v>
      </c>
      <c r="AH115" s="2" t="s">
        <v>6</v>
      </c>
      <c r="AI115" s="2" t="s">
        <v>6</v>
      </c>
      <c r="AJ115" s="2" t="s">
        <v>6</v>
      </c>
      <c r="AK115" s="2" t="s">
        <v>6</v>
      </c>
      <c r="AL115" s="2" t="s">
        <v>6</v>
      </c>
      <c r="AM115" s="2" t="s">
        <v>6</v>
      </c>
      <c r="AN115" s="20"/>
      <c r="AO115" s="12" t="s">
        <v>18</v>
      </c>
    </row>
    <row r="116" spans="1:41">
      <c r="A116" s="1" t="s">
        <v>116</v>
      </c>
      <c r="B116" s="12" t="s">
        <v>232</v>
      </c>
      <c r="C116" s="1" t="s">
        <v>14</v>
      </c>
      <c r="D116" s="1" t="s">
        <v>42</v>
      </c>
      <c r="E116" s="1" t="s">
        <v>24</v>
      </c>
      <c r="F116" s="6">
        <v>45891</v>
      </c>
      <c r="G116" s="1" t="s">
        <v>32</v>
      </c>
      <c r="H116" s="12" t="s">
        <v>18</v>
      </c>
      <c r="I116" s="7" t="s">
        <v>7</v>
      </c>
      <c r="J116" s="2">
        <v>0.375</v>
      </c>
      <c r="K116" s="2">
        <v>0.375</v>
      </c>
      <c r="L116" s="2">
        <v>0.45833333333333331</v>
      </c>
      <c r="M116" s="2">
        <v>0.375</v>
      </c>
      <c r="N116" s="2">
        <v>0.375</v>
      </c>
      <c r="O116" s="2">
        <v>0.44791666666666669</v>
      </c>
      <c r="P116" s="2">
        <v>0.45833333333333331</v>
      </c>
      <c r="Q116" s="2">
        <v>0.41666666666666669</v>
      </c>
      <c r="R116" s="2" t="s">
        <v>5</v>
      </c>
      <c r="S116" s="2">
        <v>0.375</v>
      </c>
      <c r="T116" s="2">
        <v>0.375</v>
      </c>
      <c r="U116" s="2">
        <v>0.40833333333333338</v>
      </c>
      <c r="V116" s="2">
        <v>0.38541666666666669</v>
      </c>
      <c r="W116" s="2" t="s">
        <v>5</v>
      </c>
      <c r="X116" s="2">
        <v>0.41666666666666669</v>
      </c>
      <c r="Y116" s="2">
        <v>0.41666666666666669</v>
      </c>
      <c r="Z116" s="2">
        <v>0.39583333333333331</v>
      </c>
      <c r="AA116" s="2" t="s">
        <v>5</v>
      </c>
      <c r="AB116" s="2">
        <v>0.3888888888888889</v>
      </c>
      <c r="AC116" s="2">
        <v>0.375</v>
      </c>
      <c r="AD116" s="2">
        <v>0.375</v>
      </c>
      <c r="AE116" s="2" t="s">
        <v>5</v>
      </c>
      <c r="AF116" s="2">
        <v>0.375</v>
      </c>
      <c r="AG116" s="2">
        <v>0.40625</v>
      </c>
      <c r="AH116" s="2">
        <v>0.43055555555555558</v>
      </c>
      <c r="AI116" s="2">
        <v>0.375</v>
      </c>
      <c r="AJ116" s="2">
        <v>0.43194444444444446</v>
      </c>
      <c r="AK116" s="2">
        <v>0.375</v>
      </c>
      <c r="AL116" s="2">
        <v>0.39583333333333331</v>
      </c>
      <c r="AM116" s="2">
        <v>0.41666666666666669</v>
      </c>
      <c r="AN116" s="20"/>
      <c r="AO116" s="12"/>
    </row>
    <row r="117" spans="1:41">
      <c r="A117" s="1" t="s">
        <v>116</v>
      </c>
      <c r="B117" s="12" t="s">
        <v>232</v>
      </c>
      <c r="C117" s="1" t="s">
        <v>14</v>
      </c>
      <c r="D117" s="1" t="s">
        <v>42</v>
      </c>
      <c r="E117" s="1" t="s">
        <v>24</v>
      </c>
      <c r="F117" s="6">
        <v>45891</v>
      </c>
      <c r="G117" s="1" t="s">
        <v>32</v>
      </c>
      <c r="H117" s="12" t="s">
        <v>18</v>
      </c>
      <c r="I117" s="7" t="s">
        <v>8</v>
      </c>
      <c r="J117" s="2">
        <v>0.91666666666666663</v>
      </c>
      <c r="K117" s="2">
        <v>0.20833333333333334</v>
      </c>
      <c r="L117" s="2">
        <v>0.87638888888888899</v>
      </c>
      <c r="M117" s="2">
        <v>0.13194444444444445</v>
      </c>
      <c r="N117" s="2">
        <v>0.13541666666666666</v>
      </c>
      <c r="O117" s="2">
        <v>1.0104166666666667</v>
      </c>
      <c r="P117" s="2">
        <v>0.875</v>
      </c>
      <c r="Q117" s="2">
        <v>0.16666666666666666</v>
      </c>
      <c r="R117" s="2" t="s">
        <v>5</v>
      </c>
      <c r="S117" s="2">
        <v>0.91666666666666663</v>
      </c>
      <c r="T117" s="2">
        <v>4.8611111111111112E-2</v>
      </c>
      <c r="U117" s="2">
        <v>0.91666666666666663</v>
      </c>
      <c r="V117" s="2">
        <v>0.93819444444444444</v>
      </c>
      <c r="W117" s="2" t="s">
        <v>5</v>
      </c>
      <c r="X117" s="2">
        <v>0.14583333333333334</v>
      </c>
      <c r="Y117" s="2">
        <v>4.1666666666666664E-2</v>
      </c>
      <c r="Z117" s="2">
        <v>0.85416666666666663</v>
      </c>
      <c r="AA117" s="2" t="s">
        <v>5</v>
      </c>
      <c r="AB117" s="2">
        <v>0.875</v>
      </c>
      <c r="AC117" s="2">
        <v>0.95833333333333337</v>
      </c>
      <c r="AD117" s="2">
        <v>1.0034722222222221</v>
      </c>
      <c r="AE117" s="2" t="s">
        <v>5</v>
      </c>
      <c r="AF117" s="2">
        <v>0.75</v>
      </c>
      <c r="AG117" s="2">
        <v>1.0194444444444444</v>
      </c>
      <c r="AH117" s="2">
        <v>0.90277777777777779</v>
      </c>
      <c r="AI117" s="2">
        <v>4.3750000000000004E-2</v>
      </c>
      <c r="AJ117" s="2">
        <v>0.96180555555555547</v>
      </c>
      <c r="AK117" s="2">
        <v>0.96875</v>
      </c>
      <c r="AL117" s="2">
        <v>0.1076388888888889</v>
      </c>
      <c r="AM117" s="2">
        <v>0.96944444444444444</v>
      </c>
      <c r="AN117" s="20"/>
      <c r="AO117" s="12"/>
    </row>
    <row r="118" spans="1:41">
      <c r="A118" s="21" t="s">
        <v>116</v>
      </c>
      <c r="B118" s="21" t="s">
        <v>232</v>
      </c>
      <c r="C118" s="21" t="s">
        <v>14</v>
      </c>
      <c r="D118" s="21" t="s">
        <v>42</v>
      </c>
      <c r="E118" s="21" t="s">
        <v>24</v>
      </c>
      <c r="F118" s="22">
        <v>45891</v>
      </c>
      <c r="G118" s="21" t="s">
        <v>32</v>
      </c>
      <c r="H118" s="21" t="s">
        <v>18</v>
      </c>
      <c r="I118" s="23" t="s">
        <v>9</v>
      </c>
      <c r="J118" s="24">
        <f>IF(AND(ISBLANK(J116),ISBLANK(J117)),"A",IFERROR(+MOD(J117-J116,1),J115))</f>
        <v>0.54166666666666663</v>
      </c>
      <c r="K118" s="24">
        <f t="shared" ref="K118" si="379">IF(AND(ISBLANK(K116),ISBLANK(K117)),"A",IFERROR(+MOD(K117-K116,1),K115))</f>
        <v>0.83333333333333337</v>
      </c>
      <c r="L118" s="24">
        <f t="shared" ref="L118" si="380">IF(AND(ISBLANK(L116),ISBLANK(L117)),"A",IFERROR(+MOD(L117-L116,1),L115))</f>
        <v>0.41805555555555568</v>
      </c>
      <c r="M118" s="24">
        <f t="shared" ref="M118" si="381">IF(AND(ISBLANK(M116),ISBLANK(M117)),"A",IFERROR(+MOD(M117-M116,1),M115))</f>
        <v>0.75694444444444442</v>
      </c>
      <c r="N118" s="24">
        <f t="shared" ref="N118" si="382">IF(AND(ISBLANK(N116),ISBLANK(N117)),"A",IFERROR(+MOD(N117-N116,1),N115))</f>
        <v>0.76041666666666663</v>
      </c>
      <c r="O118" s="24">
        <f t="shared" ref="O118" si="383">IF(AND(ISBLANK(O116),ISBLANK(O117)),"A",IFERROR(+MOD(O117-O116,1),O115))</f>
        <v>0.5625</v>
      </c>
      <c r="P118" s="24">
        <f t="shared" ref="P118" si="384">IF(AND(ISBLANK(P116),ISBLANK(P117)),"A",IFERROR(+MOD(P117-P116,1),P115))</f>
        <v>0.41666666666666669</v>
      </c>
      <c r="Q118" s="24">
        <f t="shared" ref="Q118" si="385">IF(AND(ISBLANK(Q116),ISBLANK(Q117)),"A",IFERROR(+MOD(Q117-Q116,1),Q115))</f>
        <v>0.75</v>
      </c>
      <c r="R118" s="24" t="s">
        <v>5</v>
      </c>
      <c r="S118" s="24">
        <f t="shared" ref="S118" si="386">IF(AND(ISBLANK(S116),ISBLANK(S117)),"A",IFERROR(+MOD(S117-S116,1),S115))</f>
        <v>0.54166666666666663</v>
      </c>
      <c r="T118" s="24">
        <f t="shared" ref="T118" si="387">IF(AND(ISBLANK(T116),ISBLANK(T117)),"A",IFERROR(+MOD(T117-T116,1),T115))</f>
        <v>0.67361111111111116</v>
      </c>
      <c r="U118" s="24">
        <f t="shared" ref="U118" si="388">IF(AND(ISBLANK(U116),ISBLANK(U117)),"A",IFERROR(+MOD(U117-U116,1),U115))</f>
        <v>0.5083333333333333</v>
      </c>
      <c r="V118" s="24">
        <f t="shared" ref="V118" si="389">IF(AND(ISBLANK(V116),ISBLANK(V117)),"A",IFERROR(+MOD(V117-V116,1),V115))</f>
        <v>0.55277777777777781</v>
      </c>
      <c r="W118" s="24" t="s">
        <v>5</v>
      </c>
      <c r="X118" s="24">
        <f t="shared" ref="X118" si="390">IF(AND(ISBLANK(X116),ISBLANK(X117)),"A",IFERROR(+MOD(X117-X116,1),X115))</f>
        <v>0.72916666666666663</v>
      </c>
      <c r="Y118" s="24">
        <f t="shared" ref="Y118" si="391">IF(AND(ISBLANK(Y116),ISBLANK(Y117)),"A",IFERROR(+MOD(Y117-Y116,1),Y115))</f>
        <v>0.625</v>
      </c>
      <c r="Z118" s="24">
        <f t="shared" ref="Z118" si="392">IF(AND(ISBLANK(Z116),ISBLANK(Z117)),"A",IFERROR(+MOD(Z117-Z116,1),Z115))</f>
        <v>0.45833333333333331</v>
      </c>
      <c r="AA118" s="24" t="s">
        <v>5</v>
      </c>
      <c r="AB118" s="24">
        <f t="shared" ref="AB118" si="393">IF(AND(ISBLANK(AB116),ISBLANK(AB117)),"A",IFERROR(+MOD(AB117-AB116,1),AB115))</f>
        <v>0.4861111111111111</v>
      </c>
      <c r="AC118" s="24">
        <f t="shared" ref="AC118" si="394">IF(AND(ISBLANK(AC116),ISBLANK(AC117)),"A",IFERROR(+MOD(AC117-AC116,1),AC115))</f>
        <v>0.58333333333333337</v>
      </c>
      <c r="AD118" s="24">
        <f t="shared" ref="AD118:AF118" si="395">IF(AND(ISBLANK(AD116),ISBLANK(AD117)),"A",IFERROR(+MOD(AD117-AD116,1),AD115))</f>
        <v>0.6284722222222221</v>
      </c>
      <c r="AE118" s="24" t="s">
        <v>5</v>
      </c>
      <c r="AF118" s="24">
        <f t="shared" si="395"/>
        <v>0.375</v>
      </c>
      <c r="AG118" s="24">
        <f t="shared" ref="AG118" si="396">IF(AND(ISBLANK(AG116),ISBLANK(AG117)),"A",IFERROR(+MOD(AG117-AG116,1),AG115))</f>
        <v>0.61319444444444438</v>
      </c>
      <c r="AH118" s="24">
        <f t="shared" ref="AH118" si="397">IF(AND(ISBLANK(AH116),ISBLANK(AH117)),"A",IFERROR(+MOD(AH117-AH116,1),AH115))</f>
        <v>0.47222222222222221</v>
      </c>
      <c r="AI118" s="24">
        <f t="shared" ref="AI118" si="398">IF(AND(ISBLANK(AI116),ISBLANK(AI117)),"A",IFERROR(+MOD(AI117-AI116,1),AI115))</f>
        <v>0.66874999999999996</v>
      </c>
      <c r="AJ118" s="24">
        <f t="shared" ref="AJ118" si="399">IF(AND(ISBLANK(AJ116),ISBLANK(AJ117)),"A",IFERROR(+MOD(AJ117-AJ116,1),AJ115))</f>
        <v>0.52986111111111101</v>
      </c>
      <c r="AK118" s="24">
        <f t="shared" ref="AK118" si="400">IF(AND(ISBLANK(AK116),ISBLANK(AK117)),"A",IFERROR(+MOD(AK117-AK116,1),AK115))</f>
        <v>0.59375</v>
      </c>
      <c r="AL118" s="24">
        <f t="shared" ref="AL118" si="401">IF(AND(ISBLANK(AL116),ISBLANK(AL117)),"A",IFERROR(+MOD(AL117-AL116,1),AL115))</f>
        <v>0.71180555555555558</v>
      </c>
      <c r="AM118" s="24">
        <f t="shared" ref="AM118" si="402">IF(AND(ISBLANK(AM116),ISBLANK(AM117)),"A",IFERROR(+MOD(AM117-AM116,1),AM115))</f>
        <v>0.55277777777777781</v>
      </c>
      <c r="AN118" s="17">
        <f>COUNT(F118:AM118)</f>
        <v>27</v>
      </c>
      <c r="AO118" s="21"/>
    </row>
    <row r="119" spans="1:41">
      <c r="A119" s="8" t="s">
        <v>207</v>
      </c>
      <c r="B119" s="12" t="s">
        <v>233</v>
      </c>
      <c r="C119" s="10" t="s">
        <v>153</v>
      </c>
      <c r="D119" s="10" t="s">
        <v>42</v>
      </c>
      <c r="E119" s="10" t="s">
        <v>65</v>
      </c>
      <c r="F119" s="11">
        <v>45891</v>
      </c>
      <c r="G119" s="12" t="s">
        <v>32</v>
      </c>
      <c r="H119" s="12" t="s">
        <v>18</v>
      </c>
      <c r="I119" s="13" t="s">
        <v>4</v>
      </c>
      <c r="J119" s="2" t="s">
        <v>6</v>
      </c>
      <c r="K119" s="2" t="s">
        <v>6</v>
      </c>
      <c r="L119" s="2" t="s">
        <v>6</v>
      </c>
      <c r="M119" s="2" t="s">
        <v>6</v>
      </c>
      <c r="N119" s="2" t="s">
        <v>6</v>
      </c>
      <c r="O119" s="2" t="s">
        <v>6</v>
      </c>
      <c r="P119" s="2" t="s">
        <v>6</v>
      </c>
      <c r="Q119" s="2" t="s">
        <v>6</v>
      </c>
      <c r="R119" s="2" t="s">
        <v>6</v>
      </c>
      <c r="S119" s="2" t="s">
        <v>6</v>
      </c>
      <c r="T119" s="2" t="s">
        <v>6</v>
      </c>
      <c r="U119" s="2" t="s">
        <v>6</v>
      </c>
      <c r="V119" s="2" t="s">
        <v>6</v>
      </c>
      <c r="W119" s="2" t="s">
        <v>5</v>
      </c>
      <c r="X119" s="2" t="s">
        <v>6</v>
      </c>
      <c r="Y119" s="2" t="s">
        <v>6</v>
      </c>
      <c r="Z119" s="2" t="s">
        <v>6</v>
      </c>
      <c r="AA119" s="2" t="s">
        <v>5</v>
      </c>
      <c r="AB119" s="2" t="s">
        <v>6</v>
      </c>
      <c r="AC119" s="2" t="s">
        <v>6</v>
      </c>
      <c r="AD119" s="2" t="s">
        <v>6</v>
      </c>
      <c r="AE119" s="2" t="s">
        <v>6</v>
      </c>
      <c r="AF119" s="2" t="s">
        <v>5</v>
      </c>
      <c r="AG119" s="2" t="s">
        <v>6</v>
      </c>
      <c r="AH119" s="2" t="s">
        <v>6</v>
      </c>
      <c r="AI119" s="2" t="s">
        <v>6</v>
      </c>
      <c r="AJ119" s="2" t="s">
        <v>6</v>
      </c>
      <c r="AK119" s="2" t="s">
        <v>6</v>
      </c>
      <c r="AL119" s="2" t="s">
        <v>6</v>
      </c>
      <c r="AM119" s="2" t="s">
        <v>6</v>
      </c>
      <c r="AN119" s="20"/>
      <c r="AO119" s="12" t="s">
        <v>18</v>
      </c>
    </row>
    <row r="120" spans="1:41">
      <c r="A120" s="1" t="s">
        <v>207</v>
      </c>
      <c r="B120" s="12" t="s">
        <v>233</v>
      </c>
      <c r="C120" s="1" t="s">
        <v>153</v>
      </c>
      <c r="D120" s="1" t="s">
        <v>42</v>
      </c>
      <c r="E120" s="1" t="s">
        <v>65</v>
      </c>
      <c r="F120" s="6">
        <v>45891</v>
      </c>
      <c r="G120" s="1" t="s">
        <v>32</v>
      </c>
      <c r="H120" s="12" t="s">
        <v>18</v>
      </c>
      <c r="I120" s="7" t="s">
        <v>7</v>
      </c>
      <c r="J120" s="2">
        <v>0.375</v>
      </c>
      <c r="K120" s="2">
        <v>0.375</v>
      </c>
      <c r="L120" s="2">
        <v>0.45833333333333331</v>
      </c>
      <c r="M120" s="2">
        <v>0.375</v>
      </c>
      <c r="N120" s="2">
        <v>0.375</v>
      </c>
      <c r="O120" s="2">
        <v>0.375</v>
      </c>
      <c r="P120" s="2">
        <v>0.45833333333333331</v>
      </c>
      <c r="Q120" s="2">
        <v>0.41666666666666669</v>
      </c>
      <c r="R120" s="2">
        <v>0.41666666666666669</v>
      </c>
      <c r="S120" s="2">
        <v>0.39583333333333331</v>
      </c>
      <c r="T120" s="2">
        <v>0.375</v>
      </c>
      <c r="U120" s="2">
        <v>0.41666666666666669</v>
      </c>
      <c r="V120" s="2">
        <v>0.38541666666666669</v>
      </c>
      <c r="W120" s="2" t="s">
        <v>5</v>
      </c>
      <c r="X120" s="2">
        <v>0.41666666666666669</v>
      </c>
      <c r="Y120" s="2">
        <v>0.41666666666666669</v>
      </c>
      <c r="Z120" s="2">
        <v>0.39583333333333331</v>
      </c>
      <c r="AA120" s="2" t="s">
        <v>5</v>
      </c>
      <c r="AB120" s="2">
        <v>0.39027777777777778</v>
      </c>
      <c r="AC120" s="2">
        <v>0.375</v>
      </c>
      <c r="AD120" s="2">
        <v>0.375</v>
      </c>
      <c r="AE120" s="2">
        <v>0.39930555555555558</v>
      </c>
      <c r="AF120" s="2" t="s">
        <v>5</v>
      </c>
      <c r="AG120" s="2">
        <v>0.40625</v>
      </c>
      <c r="AH120" s="2">
        <v>0.4236111111111111</v>
      </c>
      <c r="AI120" s="2">
        <v>0.375</v>
      </c>
      <c r="AJ120" s="2">
        <v>0.43194444444444446</v>
      </c>
      <c r="AK120" s="2">
        <v>0.40625</v>
      </c>
      <c r="AL120" s="2">
        <v>0.41666666666666669</v>
      </c>
      <c r="AM120" s="2">
        <v>0.41666666666666669</v>
      </c>
      <c r="AN120" s="20"/>
      <c r="AO120" s="12"/>
    </row>
    <row r="121" spans="1:41">
      <c r="A121" s="1" t="s">
        <v>207</v>
      </c>
      <c r="B121" s="12" t="s">
        <v>233</v>
      </c>
      <c r="C121" s="1" t="s">
        <v>153</v>
      </c>
      <c r="D121" s="1" t="s">
        <v>42</v>
      </c>
      <c r="E121" s="1" t="s">
        <v>65</v>
      </c>
      <c r="F121" s="6">
        <v>45891</v>
      </c>
      <c r="G121" s="1" t="s">
        <v>32</v>
      </c>
      <c r="H121" s="12" t="s">
        <v>18</v>
      </c>
      <c r="I121" s="7" t="s">
        <v>8</v>
      </c>
      <c r="J121" s="2">
        <v>0.91666666666666663</v>
      </c>
      <c r="K121" s="2">
        <v>0.20833333333333334</v>
      </c>
      <c r="L121" s="2">
        <v>0.87638888888888899</v>
      </c>
      <c r="M121" s="2">
        <v>1</v>
      </c>
      <c r="N121" s="2">
        <v>0.13541666666666666</v>
      </c>
      <c r="O121" s="2">
        <v>1.0104166666666667</v>
      </c>
      <c r="P121" s="2">
        <v>0.875</v>
      </c>
      <c r="Q121" s="2">
        <v>0.16666666666666666</v>
      </c>
      <c r="R121" s="2">
        <v>0.79166666666666663</v>
      </c>
      <c r="S121" s="2">
        <v>0.93055555555555547</v>
      </c>
      <c r="T121" s="2">
        <v>4.8611111111111112E-2</v>
      </c>
      <c r="U121" s="2">
        <v>0.91666666666666663</v>
      </c>
      <c r="V121" s="2">
        <v>0.19791666666666666</v>
      </c>
      <c r="W121" s="2" t="s">
        <v>5</v>
      </c>
      <c r="X121" s="2">
        <v>0.14583333333333334</v>
      </c>
      <c r="Y121" s="2">
        <v>4.1666666666666664E-2</v>
      </c>
      <c r="Z121" s="2">
        <v>0.76388888888888884</v>
      </c>
      <c r="AA121" s="2" t="s">
        <v>5</v>
      </c>
      <c r="AB121" s="2">
        <v>0.92361111111111116</v>
      </c>
      <c r="AC121" s="2">
        <v>0.95833333333333337</v>
      </c>
      <c r="AD121" s="2">
        <v>1.0034722222222221</v>
      </c>
      <c r="AE121" s="2">
        <v>0.20833333333333334</v>
      </c>
      <c r="AF121" s="2" t="s">
        <v>5</v>
      </c>
      <c r="AG121" s="2">
        <v>0.85277777777777775</v>
      </c>
      <c r="AH121" s="2">
        <v>0.89583333333333337</v>
      </c>
      <c r="AI121" s="2">
        <v>4.3750000000000004E-2</v>
      </c>
      <c r="AJ121" s="2">
        <v>9.0277777777777776E-2</v>
      </c>
      <c r="AK121" s="2">
        <v>0.79166666666666663</v>
      </c>
      <c r="AL121" s="2">
        <v>0.125</v>
      </c>
      <c r="AM121" s="2">
        <v>0.96944444444444444</v>
      </c>
      <c r="AN121" s="20"/>
      <c r="AO121" s="12"/>
    </row>
    <row r="122" spans="1:41">
      <c r="A122" s="21" t="s">
        <v>207</v>
      </c>
      <c r="B122" s="21" t="s">
        <v>233</v>
      </c>
      <c r="C122" s="21" t="s">
        <v>153</v>
      </c>
      <c r="D122" s="21" t="s">
        <v>42</v>
      </c>
      <c r="E122" s="21" t="s">
        <v>65</v>
      </c>
      <c r="F122" s="22">
        <v>45891</v>
      </c>
      <c r="G122" s="21" t="s">
        <v>32</v>
      </c>
      <c r="H122" s="21" t="s">
        <v>18</v>
      </c>
      <c r="I122" s="23" t="s">
        <v>9</v>
      </c>
      <c r="J122" s="24">
        <f>IF(AND(ISBLANK(J120),ISBLANK(J121)),"A",IFERROR(+MOD(J121-J120,1),J119))</f>
        <v>0.54166666666666663</v>
      </c>
      <c r="K122" s="24">
        <f t="shared" ref="K122" si="403">IF(AND(ISBLANK(K120),ISBLANK(K121)),"A",IFERROR(+MOD(K121-K120,1),K119))</f>
        <v>0.83333333333333337</v>
      </c>
      <c r="L122" s="24">
        <f t="shared" ref="L122" si="404">IF(AND(ISBLANK(L120),ISBLANK(L121)),"A",IFERROR(+MOD(L121-L120,1),L119))</f>
        <v>0.41805555555555568</v>
      </c>
      <c r="M122" s="24">
        <f t="shared" ref="M122" si="405">IF(AND(ISBLANK(M120),ISBLANK(M121)),"A",IFERROR(+MOD(M121-M120,1),M119))</f>
        <v>0.625</v>
      </c>
      <c r="N122" s="24">
        <f t="shared" ref="N122" si="406">IF(AND(ISBLANK(N120),ISBLANK(N121)),"A",IFERROR(+MOD(N121-N120,1),N119))</f>
        <v>0.76041666666666663</v>
      </c>
      <c r="O122" s="24">
        <f t="shared" ref="O122" si="407">IF(AND(ISBLANK(O120),ISBLANK(O121)),"A",IFERROR(+MOD(O121-O120,1),O119))</f>
        <v>0.63541666666666674</v>
      </c>
      <c r="P122" s="24">
        <f t="shared" ref="P122" si="408">IF(AND(ISBLANK(P120),ISBLANK(P121)),"A",IFERROR(+MOD(P121-P120,1),P119))</f>
        <v>0.41666666666666669</v>
      </c>
      <c r="Q122" s="24">
        <f t="shared" ref="Q122" si="409">IF(AND(ISBLANK(Q120),ISBLANK(Q121)),"A",IFERROR(+MOD(Q121-Q120,1),Q119))</f>
        <v>0.75</v>
      </c>
      <c r="R122" s="24">
        <f t="shared" ref="R122" si="410">IF(AND(ISBLANK(R120),ISBLANK(R121)),"A",IFERROR(+MOD(R121-R120,1),R119))</f>
        <v>0.37499999999999994</v>
      </c>
      <c r="S122" s="24">
        <f t="shared" ref="S122" si="411">IF(AND(ISBLANK(S120),ISBLANK(S121)),"A",IFERROR(+MOD(S121-S120,1),S119))</f>
        <v>0.5347222222222221</v>
      </c>
      <c r="T122" s="24">
        <f t="shared" ref="T122" si="412">IF(AND(ISBLANK(T120),ISBLANK(T121)),"A",IFERROR(+MOD(T121-T120,1),T119))</f>
        <v>0.67361111111111116</v>
      </c>
      <c r="U122" s="24">
        <f t="shared" ref="U122" si="413">IF(AND(ISBLANK(U120),ISBLANK(U121)),"A",IFERROR(+MOD(U121-U120,1),U119))</f>
        <v>0.49999999999999994</v>
      </c>
      <c r="V122" s="24">
        <f t="shared" ref="V122" si="414">IF(AND(ISBLANK(V120),ISBLANK(V121)),"A",IFERROR(+MOD(V121-V120,1),V119))</f>
        <v>0.8125</v>
      </c>
      <c r="W122" s="24" t="s">
        <v>5</v>
      </c>
      <c r="X122" s="24">
        <f t="shared" ref="X122" si="415">IF(AND(ISBLANK(X120),ISBLANK(X121)),"A",IFERROR(+MOD(X121-X120,1),X119))</f>
        <v>0.72916666666666663</v>
      </c>
      <c r="Y122" s="24">
        <f t="shared" ref="Y122" si="416">IF(AND(ISBLANK(Y120),ISBLANK(Y121)),"A",IFERROR(+MOD(Y121-Y120,1),Y119))</f>
        <v>0.625</v>
      </c>
      <c r="Z122" s="24">
        <f t="shared" ref="Z122" si="417">IF(AND(ISBLANK(Z120),ISBLANK(Z121)),"A",IFERROR(+MOD(Z121-Z120,1),Z119))</f>
        <v>0.36805555555555552</v>
      </c>
      <c r="AA122" s="24" t="s">
        <v>5</v>
      </c>
      <c r="AB122" s="24">
        <f t="shared" ref="AB122" si="418">IF(AND(ISBLANK(AB120),ISBLANK(AB121)),"A",IFERROR(+MOD(AB121-AB120,1),AB119))</f>
        <v>0.53333333333333344</v>
      </c>
      <c r="AC122" s="24">
        <f t="shared" ref="AC122" si="419">IF(AND(ISBLANK(AC120),ISBLANK(AC121)),"A",IFERROR(+MOD(AC121-AC120,1),AC119))</f>
        <v>0.58333333333333337</v>
      </c>
      <c r="AD122" s="24">
        <f t="shared" ref="AD122" si="420">IF(AND(ISBLANK(AD120),ISBLANK(AD121)),"A",IFERROR(+MOD(AD121-AD120,1),AD119))</f>
        <v>0.6284722222222221</v>
      </c>
      <c r="AE122" s="24">
        <f t="shared" ref="AE122" si="421">IF(AND(ISBLANK(AE120),ISBLANK(AE121)),"A",IFERROR(+MOD(AE121-AE120,1),AE119))</f>
        <v>0.80902777777777779</v>
      </c>
      <c r="AF122" s="24" t="s">
        <v>5</v>
      </c>
      <c r="AG122" s="24">
        <f t="shared" ref="AG122" si="422">IF(AND(ISBLANK(AG120),ISBLANK(AG121)),"A",IFERROR(+MOD(AG121-AG120,1),AG119))</f>
        <v>0.44652777777777775</v>
      </c>
      <c r="AH122" s="24">
        <f t="shared" ref="AH122" si="423">IF(AND(ISBLANK(AH120),ISBLANK(AH121)),"A",IFERROR(+MOD(AH121-AH120,1),AH119))</f>
        <v>0.47222222222222227</v>
      </c>
      <c r="AI122" s="24">
        <f t="shared" ref="AI122" si="424">IF(AND(ISBLANK(AI120),ISBLANK(AI121)),"A",IFERROR(+MOD(AI121-AI120,1),AI119))</f>
        <v>0.66874999999999996</v>
      </c>
      <c r="AJ122" s="24">
        <f t="shared" ref="AJ122" si="425">IF(AND(ISBLANK(AJ120),ISBLANK(AJ121)),"A",IFERROR(+MOD(AJ121-AJ120,1),AJ119))</f>
        <v>0.65833333333333333</v>
      </c>
      <c r="AK122" s="24">
        <f t="shared" ref="AK122" si="426">IF(AND(ISBLANK(AK120),ISBLANK(AK121)),"A",IFERROR(+MOD(AK121-AK120,1),AK119))</f>
        <v>0.38541666666666663</v>
      </c>
      <c r="AL122" s="24">
        <f t="shared" ref="AL122" si="427">IF(AND(ISBLANK(AL120),ISBLANK(AL121)),"A",IFERROR(+MOD(AL121-AL120,1),AL119))</f>
        <v>0.70833333333333326</v>
      </c>
      <c r="AM122" s="24">
        <f t="shared" ref="AM122" si="428">IF(AND(ISBLANK(AM120),ISBLANK(AM121)),"A",IFERROR(+MOD(AM121-AM120,1),AM119))</f>
        <v>0.55277777777777781</v>
      </c>
      <c r="AN122" s="17">
        <f>COUNT(F122:AM122)</f>
        <v>28</v>
      </c>
      <c r="AO122" s="21"/>
    </row>
    <row r="123" spans="1:41">
      <c r="A123" s="8" t="s">
        <v>119</v>
      </c>
      <c r="B123" s="12" t="s">
        <v>233</v>
      </c>
      <c r="C123" s="10" t="s">
        <v>25</v>
      </c>
      <c r="D123" s="10" t="s">
        <v>42</v>
      </c>
      <c r="E123" s="10" t="s">
        <v>26</v>
      </c>
      <c r="F123" s="11">
        <v>45891</v>
      </c>
      <c r="G123" s="12" t="s">
        <v>32</v>
      </c>
      <c r="H123" s="12" t="s">
        <v>18</v>
      </c>
      <c r="I123" s="13" t="s">
        <v>4</v>
      </c>
      <c r="J123" s="2" t="s">
        <v>6</v>
      </c>
      <c r="K123" s="2" t="s">
        <v>5</v>
      </c>
      <c r="L123" s="2" t="s">
        <v>6</v>
      </c>
      <c r="M123" s="2" t="s">
        <v>6</v>
      </c>
      <c r="N123" s="2" t="s">
        <v>6</v>
      </c>
      <c r="O123" s="2" t="s">
        <v>6</v>
      </c>
      <c r="P123" s="2" t="s">
        <v>5</v>
      </c>
      <c r="Q123" s="2" t="s">
        <v>6</v>
      </c>
      <c r="R123" s="2" t="s">
        <v>5</v>
      </c>
      <c r="S123" s="2" t="s">
        <v>6</v>
      </c>
      <c r="T123" s="2" t="s">
        <v>6</v>
      </c>
      <c r="U123" s="2" t="s">
        <v>6</v>
      </c>
      <c r="V123" s="2" t="s">
        <v>6</v>
      </c>
      <c r="W123" s="2" t="s">
        <v>6</v>
      </c>
      <c r="X123" s="2" t="s">
        <v>6</v>
      </c>
      <c r="Y123" s="2" t="s">
        <v>6</v>
      </c>
      <c r="Z123" s="2" t="s">
        <v>6</v>
      </c>
      <c r="AA123" s="2" t="s">
        <v>6</v>
      </c>
      <c r="AB123" s="2" t="s">
        <v>6</v>
      </c>
      <c r="AC123" s="2" t="s">
        <v>5</v>
      </c>
      <c r="AD123" s="2" t="s">
        <v>6</v>
      </c>
      <c r="AE123" s="2" t="s">
        <v>6</v>
      </c>
      <c r="AF123" s="2" t="s">
        <v>5</v>
      </c>
      <c r="AG123" s="2" t="s">
        <v>6</v>
      </c>
      <c r="AH123" s="2" t="s">
        <v>6</v>
      </c>
      <c r="AI123" s="2" t="s">
        <v>6</v>
      </c>
      <c r="AJ123" s="2" t="s">
        <v>6</v>
      </c>
      <c r="AK123" s="2" t="s">
        <v>6</v>
      </c>
      <c r="AL123" s="2" t="s">
        <v>6</v>
      </c>
      <c r="AM123" s="2" t="s">
        <v>5</v>
      </c>
      <c r="AN123" s="20"/>
      <c r="AO123" s="12" t="s">
        <v>18</v>
      </c>
    </row>
    <row r="124" spans="1:41">
      <c r="A124" s="1" t="s">
        <v>119</v>
      </c>
      <c r="B124" s="12" t="s">
        <v>233</v>
      </c>
      <c r="C124" s="1" t="s">
        <v>25</v>
      </c>
      <c r="D124" s="1" t="s">
        <v>42</v>
      </c>
      <c r="E124" s="1" t="s">
        <v>26</v>
      </c>
      <c r="F124" s="6">
        <v>45891</v>
      </c>
      <c r="G124" s="1" t="s">
        <v>32</v>
      </c>
      <c r="H124" s="12" t="s">
        <v>18</v>
      </c>
      <c r="I124" s="7" t="s">
        <v>7</v>
      </c>
      <c r="J124" s="2">
        <v>0.375</v>
      </c>
      <c r="K124" s="2" t="s">
        <v>5</v>
      </c>
      <c r="L124" s="2">
        <v>0.45833333333333331</v>
      </c>
      <c r="M124" s="2">
        <v>0.375</v>
      </c>
      <c r="N124" s="2">
        <v>0.39583333333333331</v>
      </c>
      <c r="O124" s="2">
        <v>0.375</v>
      </c>
      <c r="P124" s="2" t="s">
        <v>5</v>
      </c>
      <c r="Q124" s="2">
        <v>0.375</v>
      </c>
      <c r="R124" s="2" t="s">
        <v>5</v>
      </c>
      <c r="S124" s="2">
        <v>0.375</v>
      </c>
      <c r="T124" s="2">
        <v>0.375</v>
      </c>
      <c r="U124" s="2">
        <v>0.3888888888888889</v>
      </c>
      <c r="V124" s="2">
        <v>0.3888888888888889</v>
      </c>
      <c r="W124" s="2">
        <v>0.3923611111111111</v>
      </c>
      <c r="X124" s="2">
        <v>0.4513888888888889</v>
      </c>
      <c r="Y124" s="2">
        <v>0.41666666666666669</v>
      </c>
      <c r="Z124" s="2">
        <v>0.375</v>
      </c>
      <c r="AA124" s="2">
        <v>0.375</v>
      </c>
      <c r="AB124" s="2">
        <v>0.3888888888888889</v>
      </c>
      <c r="AC124" s="2" t="s">
        <v>5</v>
      </c>
      <c r="AD124" s="2">
        <v>0.375</v>
      </c>
      <c r="AE124" s="2">
        <v>0.39930555555555558</v>
      </c>
      <c r="AF124" s="2" t="s">
        <v>5</v>
      </c>
      <c r="AG124" s="2">
        <v>0.3888888888888889</v>
      </c>
      <c r="AH124" s="2">
        <v>0.39583333333333331</v>
      </c>
      <c r="AI124" s="2">
        <v>0.375</v>
      </c>
      <c r="AJ124" s="2">
        <v>0.40277777777777773</v>
      </c>
      <c r="AK124" s="2">
        <v>0.40625</v>
      </c>
      <c r="AL124" s="2">
        <v>0.375</v>
      </c>
      <c r="AM124" s="2" t="s">
        <v>5</v>
      </c>
      <c r="AN124" s="20"/>
      <c r="AO124" s="12"/>
    </row>
    <row r="125" spans="1:41">
      <c r="A125" s="1" t="s">
        <v>119</v>
      </c>
      <c r="B125" s="12" t="s">
        <v>233</v>
      </c>
      <c r="C125" s="1" t="s">
        <v>25</v>
      </c>
      <c r="D125" s="1" t="s">
        <v>42</v>
      </c>
      <c r="E125" s="1" t="s">
        <v>26</v>
      </c>
      <c r="F125" s="6">
        <v>45891</v>
      </c>
      <c r="G125" s="1" t="s">
        <v>32</v>
      </c>
      <c r="H125" s="12" t="s">
        <v>18</v>
      </c>
      <c r="I125" s="7" t="s">
        <v>8</v>
      </c>
      <c r="J125" s="2">
        <v>0.91666666666666663</v>
      </c>
      <c r="K125" s="2" t="s">
        <v>5</v>
      </c>
      <c r="L125" s="2">
        <v>0.87638888888888899</v>
      </c>
      <c r="M125" s="2">
        <v>0.13194444444444445</v>
      </c>
      <c r="N125" s="2">
        <v>0.97916666666666663</v>
      </c>
      <c r="O125" s="2">
        <v>0.79166666666666663</v>
      </c>
      <c r="P125" s="2" t="s">
        <v>5</v>
      </c>
      <c r="Q125" s="2">
        <v>0.16666666666666666</v>
      </c>
      <c r="R125" s="2" t="s">
        <v>5</v>
      </c>
      <c r="S125" s="2">
        <v>0.79166666666666663</v>
      </c>
      <c r="T125" s="2">
        <v>4.8611111111111112E-2</v>
      </c>
      <c r="U125" s="2">
        <v>0.99305555555555547</v>
      </c>
      <c r="V125" s="2">
        <v>0.77083333333333337</v>
      </c>
      <c r="W125" s="2">
        <v>6.25E-2</v>
      </c>
      <c r="X125" s="2">
        <v>8.3333333333333329E-2</v>
      </c>
      <c r="Y125" s="2">
        <v>0.83333333333333337</v>
      </c>
      <c r="Z125" s="2">
        <v>0.85416666666666663</v>
      </c>
      <c r="AA125" s="2">
        <v>0.875</v>
      </c>
      <c r="AB125" s="2">
        <v>0.875</v>
      </c>
      <c r="AC125" s="2" t="s">
        <v>5</v>
      </c>
      <c r="AD125" s="2">
        <v>0.92361111111111116</v>
      </c>
      <c r="AE125" s="2">
        <v>0.22222222222222221</v>
      </c>
      <c r="AF125" s="2" t="s">
        <v>5</v>
      </c>
      <c r="AG125" s="2">
        <v>1.0194444444444444</v>
      </c>
      <c r="AH125" s="2">
        <v>0.97916666666666663</v>
      </c>
      <c r="AI125" s="2">
        <v>1.03125</v>
      </c>
      <c r="AJ125" s="2">
        <v>0.96180555555555547</v>
      </c>
      <c r="AK125" s="2">
        <v>1.0069444444444444</v>
      </c>
      <c r="AL125" s="2">
        <v>8.3333333333333329E-2</v>
      </c>
      <c r="AM125" s="2" t="s">
        <v>5</v>
      </c>
      <c r="AN125" s="20"/>
      <c r="AO125" s="12"/>
    </row>
    <row r="126" spans="1:41">
      <c r="A126" s="21" t="s">
        <v>119</v>
      </c>
      <c r="B126" s="21" t="s">
        <v>233</v>
      </c>
      <c r="C126" s="21" t="s">
        <v>25</v>
      </c>
      <c r="D126" s="21" t="s">
        <v>42</v>
      </c>
      <c r="E126" s="21" t="s">
        <v>26</v>
      </c>
      <c r="F126" s="22">
        <v>45891</v>
      </c>
      <c r="G126" s="21" t="s">
        <v>32</v>
      </c>
      <c r="H126" s="21" t="s">
        <v>18</v>
      </c>
      <c r="I126" s="23" t="s">
        <v>9</v>
      </c>
      <c r="J126" s="24">
        <f>IF(AND(ISBLANK(J124),ISBLANK(J125)),"A",IFERROR(+MOD(J125-J124,1),J123))</f>
        <v>0.54166666666666663</v>
      </c>
      <c r="K126" s="24" t="s">
        <v>5</v>
      </c>
      <c r="L126" s="24">
        <f t="shared" ref="L126" si="429">IF(AND(ISBLANK(L124),ISBLANK(L125)),"A",IFERROR(+MOD(L125-L124,1),L123))</f>
        <v>0.41805555555555568</v>
      </c>
      <c r="M126" s="24">
        <f t="shared" ref="M126" si="430">IF(AND(ISBLANK(M124),ISBLANK(M125)),"A",IFERROR(+MOD(M125-M124,1),M123))</f>
        <v>0.75694444444444442</v>
      </c>
      <c r="N126" s="24">
        <f t="shared" ref="N126" si="431">IF(AND(ISBLANK(N124),ISBLANK(N125)),"A",IFERROR(+MOD(N125-N124,1),N123))</f>
        <v>0.58333333333333326</v>
      </c>
      <c r="O126" s="24">
        <f t="shared" ref="O126:Q126" si="432">IF(AND(ISBLANK(O124),ISBLANK(O125)),"A",IFERROR(+MOD(O125-O124,1),O123))</f>
        <v>0.41666666666666663</v>
      </c>
      <c r="P126" s="24" t="s">
        <v>5</v>
      </c>
      <c r="Q126" s="24">
        <f t="shared" si="432"/>
        <v>0.79166666666666663</v>
      </c>
      <c r="R126" s="24" t="s">
        <v>5</v>
      </c>
      <c r="S126" s="24">
        <f t="shared" ref="S126" si="433">IF(AND(ISBLANK(S124),ISBLANK(S125)),"A",IFERROR(+MOD(S125-S124,1),S123))</f>
        <v>0.41666666666666663</v>
      </c>
      <c r="T126" s="24">
        <f t="shared" ref="T126" si="434">IF(AND(ISBLANK(T124),ISBLANK(T125)),"A",IFERROR(+MOD(T125-T124,1),T123))</f>
        <v>0.67361111111111116</v>
      </c>
      <c r="U126" s="24">
        <f t="shared" ref="U126" si="435">IF(AND(ISBLANK(U124),ISBLANK(U125)),"A",IFERROR(+MOD(U125-U124,1),U123))</f>
        <v>0.60416666666666652</v>
      </c>
      <c r="V126" s="24">
        <f t="shared" ref="V126" si="436">IF(AND(ISBLANK(V124),ISBLANK(V125)),"A",IFERROR(+MOD(V125-V124,1),V123))</f>
        <v>0.38194444444444448</v>
      </c>
      <c r="W126" s="24">
        <f t="shared" ref="W126" si="437">IF(AND(ISBLANK(W124),ISBLANK(W125)),"A",IFERROR(+MOD(W125-W124,1),W123))</f>
        <v>0.67013888888888884</v>
      </c>
      <c r="X126" s="24">
        <f t="shared" ref="X126" si="438">IF(AND(ISBLANK(X124),ISBLANK(X125)),"A",IFERROR(+MOD(X125-X124,1),X123))</f>
        <v>0.63194444444444442</v>
      </c>
      <c r="Y126" s="24">
        <f t="shared" ref="Y126" si="439">IF(AND(ISBLANK(Y124),ISBLANK(Y125)),"A",IFERROR(+MOD(Y125-Y124,1),Y123))</f>
        <v>0.41666666666666669</v>
      </c>
      <c r="Z126" s="24">
        <f t="shared" ref="Z126" si="440">IF(AND(ISBLANK(Z124),ISBLANK(Z125)),"A",IFERROR(+MOD(Z125-Z124,1),Z123))</f>
        <v>0.47916666666666663</v>
      </c>
      <c r="AA126" s="24">
        <f t="shared" ref="AA126" si="441">IF(AND(ISBLANK(AA124),ISBLANK(AA125)),"A",IFERROR(+MOD(AA125-AA124,1),AA123))</f>
        <v>0.5</v>
      </c>
      <c r="AB126" s="24">
        <f t="shared" ref="AB126" si="442">IF(AND(ISBLANK(AB124),ISBLANK(AB125)),"A",IFERROR(+MOD(AB125-AB124,1),AB123))</f>
        <v>0.4861111111111111</v>
      </c>
      <c r="AC126" s="24" t="s">
        <v>5</v>
      </c>
      <c r="AD126" s="24">
        <f t="shared" ref="AD126" si="443">IF(AND(ISBLANK(AD124),ISBLANK(AD125)),"A",IFERROR(+MOD(AD125-AD124,1),AD123))</f>
        <v>0.54861111111111116</v>
      </c>
      <c r="AE126" s="24">
        <f t="shared" ref="AE126" si="444">IF(AND(ISBLANK(AE124),ISBLANK(AE125)),"A",IFERROR(+MOD(AE125-AE124,1),AE123))</f>
        <v>0.82291666666666663</v>
      </c>
      <c r="AF126" s="24" t="s">
        <v>5</v>
      </c>
      <c r="AG126" s="24">
        <f t="shared" ref="AG126" si="445">IF(AND(ISBLANK(AG124),ISBLANK(AG125)),"A",IFERROR(+MOD(AG125-AG124,1),AG123))</f>
        <v>0.63055555555555554</v>
      </c>
      <c r="AH126" s="24">
        <f t="shared" ref="AH126" si="446">IF(AND(ISBLANK(AH124),ISBLANK(AH125)),"A",IFERROR(+MOD(AH125-AH124,1),AH123))</f>
        <v>0.58333333333333326</v>
      </c>
      <c r="AI126" s="24">
        <f t="shared" ref="AI126" si="447">IF(AND(ISBLANK(AI124),ISBLANK(AI125)),"A",IFERROR(+MOD(AI125-AI124,1),AI123))</f>
        <v>0.65625</v>
      </c>
      <c r="AJ126" s="24">
        <f t="shared" ref="AJ126" si="448">IF(AND(ISBLANK(AJ124),ISBLANK(AJ125)),"A",IFERROR(+MOD(AJ125-AJ124,1),AJ123))</f>
        <v>0.55902777777777768</v>
      </c>
      <c r="AK126" s="24">
        <f t="shared" ref="AK126" si="449">IF(AND(ISBLANK(AK124),ISBLANK(AK125)),"A",IFERROR(+MOD(AK125-AK124,1),AK123))</f>
        <v>0.60069444444444442</v>
      </c>
      <c r="AL126" s="24">
        <f t="shared" ref="AL126" si="450">IF(AND(ISBLANK(AL124),ISBLANK(AL125)),"A",IFERROR(+MOD(AL125-AL124,1),AL123))</f>
        <v>0.70833333333333326</v>
      </c>
      <c r="AM126" s="24" t="s">
        <v>5</v>
      </c>
      <c r="AN126" s="17">
        <f>COUNT(F126:AM126)</f>
        <v>25</v>
      </c>
      <c r="AO126" s="21"/>
    </row>
    <row r="127" spans="1:41">
      <c r="A127" s="8" t="s">
        <v>137</v>
      </c>
      <c r="B127" s="12" t="s">
        <v>235</v>
      </c>
      <c r="C127" s="10" t="s">
        <v>58</v>
      </c>
      <c r="D127" s="10" t="s">
        <v>42</v>
      </c>
      <c r="E127" s="10" t="s">
        <v>19</v>
      </c>
      <c r="F127" s="11">
        <v>45899</v>
      </c>
      <c r="G127" s="12" t="s">
        <v>32</v>
      </c>
      <c r="H127" s="12" t="s">
        <v>18</v>
      </c>
      <c r="I127" s="13" t="s">
        <v>4</v>
      </c>
      <c r="J127" s="2" t="s">
        <v>6</v>
      </c>
      <c r="K127" s="2" t="s">
        <v>5</v>
      </c>
      <c r="L127" s="2" t="s">
        <v>5</v>
      </c>
      <c r="M127" s="2" t="s">
        <v>5</v>
      </c>
      <c r="N127" s="2" t="s">
        <v>5</v>
      </c>
      <c r="O127" s="2" t="s">
        <v>5</v>
      </c>
      <c r="P127" s="2" t="s">
        <v>5</v>
      </c>
      <c r="Q127" s="2" t="s">
        <v>6</v>
      </c>
      <c r="R127" s="2" t="s">
        <v>5</v>
      </c>
      <c r="S127" s="2" t="s">
        <v>6</v>
      </c>
      <c r="T127" s="2" t="s">
        <v>6</v>
      </c>
      <c r="U127" s="2" t="s">
        <v>5</v>
      </c>
      <c r="V127" s="2" t="s">
        <v>6</v>
      </c>
      <c r="W127" s="2" t="s">
        <v>6</v>
      </c>
      <c r="X127" s="2" t="s">
        <v>6</v>
      </c>
      <c r="Y127" s="2" t="s">
        <v>5</v>
      </c>
      <c r="Z127" s="2" t="s">
        <v>6</v>
      </c>
      <c r="AA127" s="2" t="s">
        <v>6</v>
      </c>
      <c r="AB127" s="2" t="s">
        <v>6</v>
      </c>
      <c r="AC127" s="2" t="s">
        <v>6</v>
      </c>
      <c r="AD127" s="2" t="s">
        <v>6</v>
      </c>
      <c r="AE127" s="2" t="s">
        <v>6</v>
      </c>
      <c r="AF127" s="2" t="s">
        <v>5</v>
      </c>
      <c r="AG127" s="2" t="s">
        <v>6</v>
      </c>
      <c r="AH127" s="2" t="s">
        <v>6</v>
      </c>
      <c r="AI127" s="2" t="s">
        <v>6</v>
      </c>
      <c r="AJ127" s="2" t="s">
        <v>6</v>
      </c>
      <c r="AK127" s="2" t="s">
        <v>6</v>
      </c>
      <c r="AL127" s="2" t="s">
        <v>6</v>
      </c>
      <c r="AM127" s="2" t="s">
        <v>5</v>
      </c>
      <c r="AN127" s="20"/>
      <c r="AO127" s="12" t="s">
        <v>18</v>
      </c>
    </row>
    <row r="128" spans="1:41">
      <c r="A128" s="1" t="s">
        <v>137</v>
      </c>
      <c r="B128" s="12" t="s">
        <v>235</v>
      </c>
      <c r="C128" s="1" t="s">
        <v>58</v>
      </c>
      <c r="D128" s="1" t="s">
        <v>42</v>
      </c>
      <c r="E128" s="1" t="s">
        <v>19</v>
      </c>
      <c r="F128" s="6">
        <v>45899</v>
      </c>
      <c r="G128" s="1" t="s">
        <v>32</v>
      </c>
      <c r="H128" s="12" t="s">
        <v>18</v>
      </c>
      <c r="I128" s="7" t="s">
        <v>7</v>
      </c>
      <c r="J128" s="2">
        <v>0.375</v>
      </c>
      <c r="K128" s="2" t="s">
        <v>5</v>
      </c>
      <c r="L128" s="2" t="s">
        <v>5</v>
      </c>
      <c r="M128" s="2" t="s">
        <v>5</v>
      </c>
      <c r="N128" s="2" t="s">
        <v>5</v>
      </c>
      <c r="O128" s="2" t="s">
        <v>5</v>
      </c>
      <c r="P128" s="2" t="s">
        <v>5</v>
      </c>
      <c r="Q128" s="2">
        <v>0.375</v>
      </c>
      <c r="R128" s="2" t="s">
        <v>5</v>
      </c>
      <c r="S128" s="2">
        <v>0.375</v>
      </c>
      <c r="T128" s="2">
        <v>0.375</v>
      </c>
      <c r="U128" s="2" t="s">
        <v>5</v>
      </c>
      <c r="V128" s="2">
        <v>0.375</v>
      </c>
      <c r="W128" s="2">
        <v>0.375</v>
      </c>
      <c r="X128" s="2">
        <v>0.375</v>
      </c>
      <c r="Y128" s="2" t="s">
        <v>5</v>
      </c>
      <c r="Z128" s="2">
        <v>0.375</v>
      </c>
      <c r="AA128" s="2">
        <v>0.375</v>
      </c>
      <c r="AB128" s="2">
        <v>0.39930555555555558</v>
      </c>
      <c r="AC128" s="2">
        <v>0.375</v>
      </c>
      <c r="AD128" s="2">
        <v>0.3888888888888889</v>
      </c>
      <c r="AE128" s="2">
        <v>0.39930555555555558</v>
      </c>
      <c r="AF128" s="2" t="s">
        <v>5</v>
      </c>
      <c r="AG128" s="2">
        <v>0.3888888888888889</v>
      </c>
      <c r="AH128" s="2">
        <v>0.375</v>
      </c>
      <c r="AI128" s="2">
        <v>0.375</v>
      </c>
      <c r="AJ128" s="2">
        <v>0.375</v>
      </c>
      <c r="AK128" s="2">
        <v>0.41666666666666669</v>
      </c>
      <c r="AL128" s="2">
        <v>0.375</v>
      </c>
      <c r="AM128" s="2" t="s">
        <v>5</v>
      </c>
      <c r="AN128" s="20"/>
      <c r="AO128" s="12"/>
    </row>
    <row r="129" spans="1:41">
      <c r="A129" s="1" t="s">
        <v>137</v>
      </c>
      <c r="B129" s="12" t="s">
        <v>235</v>
      </c>
      <c r="C129" s="1" t="s">
        <v>58</v>
      </c>
      <c r="D129" s="1" t="s">
        <v>42</v>
      </c>
      <c r="E129" s="1" t="s">
        <v>19</v>
      </c>
      <c r="F129" s="6">
        <v>45899</v>
      </c>
      <c r="G129" s="1" t="s">
        <v>32</v>
      </c>
      <c r="H129" s="12" t="s">
        <v>18</v>
      </c>
      <c r="I129" s="7" t="s">
        <v>8</v>
      </c>
      <c r="J129" s="2">
        <v>0.875</v>
      </c>
      <c r="K129" s="2" t="s">
        <v>5</v>
      </c>
      <c r="L129" s="2" t="s">
        <v>5</v>
      </c>
      <c r="M129" s="2" t="s">
        <v>5</v>
      </c>
      <c r="N129" s="2" t="s">
        <v>5</v>
      </c>
      <c r="O129" s="2" t="s">
        <v>5</v>
      </c>
      <c r="P129" s="2" t="s">
        <v>5</v>
      </c>
      <c r="Q129" s="2">
        <v>0.83333333333333337</v>
      </c>
      <c r="R129" s="2" t="s">
        <v>5</v>
      </c>
      <c r="S129" s="2">
        <v>0.83333333333333337</v>
      </c>
      <c r="T129" s="2">
        <v>0.84027777777777779</v>
      </c>
      <c r="U129" s="2" t="s">
        <v>5</v>
      </c>
      <c r="V129" s="2">
        <v>0.83333333333333337</v>
      </c>
      <c r="W129" s="2">
        <v>0.875</v>
      </c>
      <c r="X129" s="2">
        <v>0.10416666666666667</v>
      </c>
      <c r="Y129" s="2" t="s">
        <v>5</v>
      </c>
      <c r="Z129" s="2">
        <v>0.95833333333333337</v>
      </c>
      <c r="AA129" s="2">
        <v>0.9375</v>
      </c>
      <c r="AB129" s="2">
        <v>0.10416666666666667</v>
      </c>
      <c r="AC129" s="2">
        <v>1.0069444444444444</v>
      </c>
      <c r="AD129" s="2">
        <v>1.0138888888888888</v>
      </c>
      <c r="AE129" s="2">
        <v>0.9375</v>
      </c>
      <c r="AF129" s="2" t="s">
        <v>5</v>
      </c>
      <c r="AG129" s="2">
        <v>4.5138888888888888E-2</v>
      </c>
      <c r="AH129" s="2">
        <v>0.97916666666666663</v>
      </c>
      <c r="AI129" s="2">
        <v>1</v>
      </c>
      <c r="AJ129" s="2">
        <v>0.11458333333333333</v>
      </c>
      <c r="AK129" s="2">
        <v>8.3333333333333329E-2</v>
      </c>
      <c r="AL129" s="2">
        <v>8.3333333333333329E-2</v>
      </c>
      <c r="AM129" s="2" t="s">
        <v>5</v>
      </c>
      <c r="AN129" s="20"/>
      <c r="AO129" s="12"/>
    </row>
    <row r="130" spans="1:41">
      <c r="A130" s="21" t="s">
        <v>137</v>
      </c>
      <c r="B130" s="21" t="s">
        <v>235</v>
      </c>
      <c r="C130" s="21" t="s">
        <v>58</v>
      </c>
      <c r="D130" s="21" t="s">
        <v>42</v>
      </c>
      <c r="E130" s="21" t="s">
        <v>19</v>
      </c>
      <c r="F130" s="22">
        <v>45899</v>
      </c>
      <c r="G130" s="21" t="s">
        <v>32</v>
      </c>
      <c r="H130" s="21" t="s">
        <v>18</v>
      </c>
      <c r="I130" s="23" t="s">
        <v>9</v>
      </c>
      <c r="J130" s="24">
        <f>IF(AND(ISBLANK(J128),ISBLANK(J129)),"A",IFERROR(+MOD(J129-J128,1),J127))</f>
        <v>0.5</v>
      </c>
      <c r="K130" s="24" t="s">
        <v>5</v>
      </c>
      <c r="L130" s="24" t="s">
        <v>5</v>
      </c>
      <c r="M130" s="24" t="s">
        <v>5</v>
      </c>
      <c r="N130" s="24" t="s">
        <v>5</v>
      </c>
      <c r="O130" s="24" t="s">
        <v>5</v>
      </c>
      <c r="P130" s="24" t="s">
        <v>5</v>
      </c>
      <c r="Q130" s="24">
        <f t="shared" ref="Q130" si="451">IF(AND(ISBLANK(Q128),ISBLANK(Q129)),"A",IFERROR(+MOD(Q129-Q128,1),Q127))</f>
        <v>0.45833333333333337</v>
      </c>
      <c r="R130" s="24" t="s">
        <v>5</v>
      </c>
      <c r="S130" s="24">
        <f t="shared" ref="S130" si="452">IF(AND(ISBLANK(S128),ISBLANK(S129)),"A",IFERROR(+MOD(S129-S128,1),S127))</f>
        <v>0.45833333333333337</v>
      </c>
      <c r="T130" s="24">
        <f t="shared" ref="T130" si="453">IF(AND(ISBLANK(T128),ISBLANK(T129)),"A",IFERROR(+MOD(T129-T128,1),T127))</f>
        <v>0.46527777777777779</v>
      </c>
      <c r="U130" s="24" t="s">
        <v>5</v>
      </c>
      <c r="V130" s="24">
        <f t="shared" ref="V130" si="454">IF(AND(ISBLANK(V128),ISBLANK(V129)),"A",IFERROR(+MOD(V129-V128,1),V127))</f>
        <v>0.45833333333333337</v>
      </c>
      <c r="W130" s="24">
        <f t="shared" ref="W130" si="455">IF(AND(ISBLANK(W128),ISBLANK(W129)),"A",IFERROR(+MOD(W129-W128,1),W127))</f>
        <v>0.5</v>
      </c>
      <c r="X130" s="24">
        <f t="shared" ref="X130" si="456">IF(AND(ISBLANK(X128),ISBLANK(X129)),"A",IFERROR(+MOD(X129-X128,1),X127))</f>
        <v>0.72916666666666674</v>
      </c>
      <c r="Y130" s="24" t="s">
        <v>5</v>
      </c>
      <c r="Z130" s="24">
        <f t="shared" ref="Z130" si="457">IF(AND(ISBLANK(Z128),ISBLANK(Z129)),"A",IFERROR(+MOD(Z129-Z128,1),Z127))</f>
        <v>0.58333333333333337</v>
      </c>
      <c r="AA130" s="24">
        <f t="shared" ref="AA130" si="458">IF(AND(ISBLANK(AA128),ISBLANK(AA129)),"A",IFERROR(+MOD(AA129-AA128,1),AA127))</f>
        <v>0.5625</v>
      </c>
      <c r="AB130" s="24">
        <f t="shared" ref="AB130" si="459">IF(AND(ISBLANK(AB128),ISBLANK(AB129)),"A",IFERROR(+MOD(AB129-AB128,1),AB127))</f>
        <v>0.70486111111111116</v>
      </c>
      <c r="AC130" s="24">
        <f t="shared" ref="AC130" si="460">IF(AND(ISBLANK(AC128),ISBLANK(AC129)),"A",IFERROR(+MOD(AC129-AC128,1),AC127))</f>
        <v>0.63194444444444442</v>
      </c>
      <c r="AD130" s="24">
        <f t="shared" ref="AD130" si="461">IF(AND(ISBLANK(AD128),ISBLANK(AD129)),"A",IFERROR(+MOD(AD129-AD128,1),AD127))</f>
        <v>0.625</v>
      </c>
      <c r="AE130" s="24">
        <f t="shared" ref="AE130" si="462">IF(AND(ISBLANK(AE128),ISBLANK(AE129)),"A",IFERROR(+MOD(AE129-AE128,1),AE127))</f>
        <v>0.53819444444444442</v>
      </c>
      <c r="AF130" s="24" t="s">
        <v>5</v>
      </c>
      <c r="AG130" s="24">
        <f t="shared" ref="AG130" si="463">IF(AND(ISBLANK(AG128),ISBLANK(AG129)),"A",IFERROR(+MOD(AG129-AG128,1),AG127))</f>
        <v>0.65625</v>
      </c>
      <c r="AH130" s="24">
        <f t="shared" ref="AH130" si="464">IF(AND(ISBLANK(AH128),ISBLANK(AH129)),"A",IFERROR(+MOD(AH129-AH128,1),AH127))</f>
        <v>0.60416666666666663</v>
      </c>
      <c r="AI130" s="24">
        <f t="shared" ref="AI130" si="465">IF(AND(ISBLANK(AI128),ISBLANK(AI129)),"A",IFERROR(+MOD(AI129-AI128,1),AI127))</f>
        <v>0.625</v>
      </c>
      <c r="AJ130" s="24">
        <f t="shared" ref="AJ130" si="466">IF(AND(ISBLANK(AJ128),ISBLANK(AJ129)),"A",IFERROR(+MOD(AJ129-AJ128,1),AJ127))</f>
        <v>0.73958333333333326</v>
      </c>
      <c r="AK130" s="24">
        <f t="shared" ref="AK130" si="467">IF(AND(ISBLANK(AK128),ISBLANK(AK129)),"A",IFERROR(+MOD(AK129-AK128,1),AK127))</f>
        <v>0.66666666666666663</v>
      </c>
      <c r="AL130" s="24">
        <f t="shared" ref="AL130" si="468">IF(AND(ISBLANK(AL128),ISBLANK(AL129)),"A",IFERROR(+MOD(AL129-AL128,1),AL127))</f>
        <v>0.70833333333333326</v>
      </c>
      <c r="AM130" s="24" t="s">
        <v>5</v>
      </c>
      <c r="AN130" s="17">
        <f>COUNT(F130:AM130)</f>
        <v>20</v>
      </c>
      <c r="AO130" s="21"/>
    </row>
    <row r="131" spans="1:41">
      <c r="A131" s="8" t="s">
        <v>98</v>
      </c>
      <c r="B131" s="12" t="s">
        <v>234</v>
      </c>
      <c r="C131" s="10" t="s">
        <v>90</v>
      </c>
      <c r="D131" s="10" t="s">
        <v>41</v>
      </c>
      <c r="E131" s="10" t="s">
        <v>168</v>
      </c>
      <c r="F131" s="11">
        <v>45885</v>
      </c>
      <c r="G131" s="1" t="s">
        <v>96</v>
      </c>
      <c r="H131" s="12" t="s">
        <v>18</v>
      </c>
      <c r="I131" s="13" t="s">
        <v>4</v>
      </c>
      <c r="J131" s="2" t="s">
        <v>6</v>
      </c>
      <c r="K131" s="2" t="s">
        <v>5</v>
      </c>
      <c r="L131" s="2" t="s">
        <v>6</v>
      </c>
      <c r="M131" s="2" t="s">
        <v>6</v>
      </c>
      <c r="N131" s="2" t="s">
        <v>6</v>
      </c>
      <c r="O131" s="2" t="s">
        <v>6</v>
      </c>
      <c r="P131" s="2" t="s">
        <v>6</v>
      </c>
      <c r="Q131" s="2" t="s">
        <v>6</v>
      </c>
      <c r="R131" s="2" t="s">
        <v>5</v>
      </c>
      <c r="S131" s="2" t="s">
        <v>6</v>
      </c>
      <c r="T131" s="2" t="s">
        <v>6</v>
      </c>
      <c r="U131" s="2" t="s">
        <v>6</v>
      </c>
      <c r="V131" s="2" t="s">
        <v>6</v>
      </c>
      <c r="W131" s="2" t="s">
        <v>6</v>
      </c>
      <c r="X131" s="2" t="s">
        <v>6</v>
      </c>
      <c r="Y131" s="2" t="s">
        <v>5</v>
      </c>
      <c r="Z131" s="2" t="s">
        <v>6</v>
      </c>
      <c r="AA131" s="2" t="s">
        <v>6</v>
      </c>
      <c r="AB131" s="2" t="s">
        <v>6</v>
      </c>
      <c r="AC131" s="2" t="s">
        <v>6</v>
      </c>
      <c r="AD131" s="2" t="s">
        <v>6</v>
      </c>
      <c r="AE131" s="2" t="s">
        <v>6</v>
      </c>
      <c r="AF131" s="2" t="s">
        <v>5</v>
      </c>
      <c r="AG131" s="2" t="s">
        <v>6</v>
      </c>
      <c r="AH131" s="2" t="s">
        <v>6</v>
      </c>
      <c r="AI131" s="2" t="s">
        <v>6</v>
      </c>
      <c r="AJ131" s="2" t="s">
        <v>6</v>
      </c>
      <c r="AK131" s="2" t="s">
        <v>6</v>
      </c>
      <c r="AL131" s="2" t="s">
        <v>6</v>
      </c>
      <c r="AM131" s="2" t="s">
        <v>5</v>
      </c>
      <c r="AN131" s="20"/>
      <c r="AO131" s="12" t="s">
        <v>18</v>
      </c>
    </row>
    <row r="132" spans="1:41">
      <c r="A132" s="1" t="s">
        <v>98</v>
      </c>
      <c r="B132" s="12" t="s">
        <v>234</v>
      </c>
      <c r="C132" s="1" t="s">
        <v>90</v>
      </c>
      <c r="D132" s="1" t="s">
        <v>41</v>
      </c>
      <c r="E132" s="1" t="s">
        <v>168</v>
      </c>
      <c r="F132" s="6">
        <v>45885</v>
      </c>
      <c r="G132" s="1" t="s">
        <v>96</v>
      </c>
      <c r="H132" s="12" t="s">
        <v>18</v>
      </c>
      <c r="I132" s="7" t="s">
        <v>7</v>
      </c>
      <c r="J132" s="2">
        <v>0.375</v>
      </c>
      <c r="K132" s="2" t="s">
        <v>5</v>
      </c>
      <c r="L132" s="2">
        <v>0.375</v>
      </c>
      <c r="M132" s="2">
        <v>0.375</v>
      </c>
      <c r="N132" s="2">
        <v>0.375</v>
      </c>
      <c r="O132" s="2">
        <v>0.375</v>
      </c>
      <c r="P132" s="2">
        <v>0.375</v>
      </c>
      <c r="Q132" s="2">
        <v>0.375</v>
      </c>
      <c r="R132" s="2" t="s">
        <v>5</v>
      </c>
      <c r="S132" s="2">
        <v>0.375</v>
      </c>
      <c r="T132" s="2">
        <v>0.375</v>
      </c>
      <c r="U132" s="2">
        <v>0.375</v>
      </c>
      <c r="V132" s="2">
        <v>0.375</v>
      </c>
      <c r="W132" s="2">
        <v>0.375</v>
      </c>
      <c r="X132" s="2">
        <v>0.375</v>
      </c>
      <c r="Y132" s="2" t="s">
        <v>5</v>
      </c>
      <c r="Z132" s="2">
        <v>0.375</v>
      </c>
      <c r="AA132" s="2">
        <v>0.375</v>
      </c>
      <c r="AB132" s="2">
        <v>0.375</v>
      </c>
      <c r="AC132" s="2">
        <v>0.375</v>
      </c>
      <c r="AD132" s="2">
        <v>0.375</v>
      </c>
      <c r="AE132" s="2">
        <v>0.375</v>
      </c>
      <c r="AF132" s="2" t="s">
        <v>5</v>
      </c>
      <c r="AG132" s="2">
        <v>0.375</v>
      </c>
      <c r="AH132" s="2">
        <v>0.375</v>
      </c>
      <c r="AI132" s="2">
        <v>0.375</v>
      </c>
      <c r="AJ132" s="2">
        <v>0.375</v>
      </c>
      <c r="AK132" s="2">
        <v>0.375</v>
      </c>
      <c r="AL132" s="2">
        <v>0.375</v>
      </c>
      <c r="AM132" s="2" t="s">
        <v>5</v>
      </c>
      <c r="AN132" s="20"/>
      <c r="AO132" s="12"/>
    </row>
    <row r="133" spans="1:41">
      <c r="A133" s="1" t="s">
        <v>98</v>
      </c>
      <c r="B133" s="12" t="s">
        <v>234</v>
      </c>
      <c r="C133" s="1" t="s">
        <v>90</v>
      </c>
      <c r="D133" s="1" t="s">
        <v>41</v>
      </c>
      <c r="E133" s="1" t="s">
        <v>168</v>
      </c>
      <c r="F133" s="6">
        <v>45885</v>
      </c>
      <c r="G133" s="1" t="s">
        <v>96</v>
      </c>
      <c r="H133" s="12" t="s">
        <v>18</v>
      </c>
      <c r="I133" s="7" t="s">
        <v>8</v>
      </c>
      <c r="J133" s="2">
        <v>0.96180555555555547</v>
      </c>
      <c r="K133" s="2" t="s">
        <v>5</v>
      </c>
      <c r="L133" s="2">
        <v>0.75</v>
      </c>
      <c r="M133" s="2">
        <v>0.79513888888888884</v>
      </c>
      <c r="N133" s="2">
        <v>0.75</v>
      </c>
      <c r="O133" s="2">
        <v>0.75</v>
      </c>
      <c r="P133" s="2">
        <v>0.77777777777777779</v>
      </c>
      <c r="Q133" s="2">
        <v>0.75</v>
      </c>
      <c r="R133" s="2" t="s">
        <v>5</v>
      </c>
      <c r="S133" s="2">
        <v>0.91666666666666663</v>
      </c>
      <c r="T133" s="2">
        <v>0.75</v>
      </c>
      <c r="U133" s="2">
        <v>0.97569444444444453</v>
      </c>
      <c r="V133" s="2">
        <v>0.75</v>
      </c>
      <c r="W133" s="2">
        <v>0.75</v>
      </c>
      <c r="X133" s="2">
        <v>0.75</v>
      </c>
      <c r="Y133" s="2" t="s">
        <v>5</v>
      </c>
      <c r="Z133" s="2">
        <v>0.75</v>
      </c>
      <c r="AA133" s="2">
        <v>0.75</v>
      </c>
      <c r="AB133" s="2">
        <v>0.88888888888888884</v>
      </c>
      <c r="AC133" s="2">
        <v>0.84027777777777779</v>
      </c>
      <c r="AD133" s="2">
        <v>0.79861111111111116</v>
      </c>
      <c r="AE133" s="2">
        <v>0.75</v>
      </c>
      <c r="AF133" s="2" t="s">
        <v>5</v>
      </c>
      <c r="AG133" s="2">
        <v>0.75</v>
      </c>
      <c r="AH133" s="2">
        <v>0.75</v>
      </c>
      <c r="AI133" s="2">
        <v>0.75</v>
      </c>
      <c r="AJ133" s="2">
        <v>0.75</v>
      </c>
      <c r="AK133" s="2">
        <v>0.75</v>
      </c>
      <c r="AL133" s="2">
        <v>0.75</v>
      </c>
      <c r="AM133" s="2" t="s">
        <v>5</v>
      </c>
      <c r="AN133" s="20"/>
      <c r="AO133" s="12"/>
    </row>
    <row r="134" spans="1:41">
      <c r="A134" s="21" t="s">
        <v>98</v>
      </c>
      <c r="B134" s="21" t="s">
        <v>234</v>
      </c>
      <c r="C134" s="21" t="s">
        <v>90</v>
      </c>
      <c r="D134" s="21" t="s">
        <v>41</v>
      </c>
      <c r="E134" s="21" t="s">
        <v>168</v>
      </c>
      <c r="F134" s="22">
        <v>45885</v>
      </c>
      <c r="G134" s="21" t="s">
        <v>96</v>
      </c>
      <c r="H134" s="21" t="s">
        <v>18</v>
      </c>
      <c r="I134" s="23" t="s">
        <v>9</v>
      </c>
      <c r="J134" s="24">
        <f>IF(AND(ISBLANK(J132),ISBLANK(J133)),"A",IFERROR(+MOD(J133-J132,1),J131))</f>
        <v>0.58680555555555547</v>
      </c>
      <c r="K134" s="24" t="s">
        <v>5</v>
      </c>
      <c r="L134" s="24">
        <f t="shared" ref="L134" si="469">IF(AND(ISBLANK(L132),ISBLANK(L133)),"A",IFERROR(+MOD(L133-L132,1),L131))</f>
        <v>0.375</v>
      </c>
      <c r="M134" s="24">
        <f t="shared" ref="M134" si="470">IF(AND(ISBLANK(M132),ISBLANK(M133)),"A",IFERROR(+MOD(M133-M132,1),M131))</f>
        <v>0.42013888888888884</v>
      </c>
      <c r="N134" s="24">
        <f t="shared" ref="N134" si="471">IF(AND(ISBLANK(N132),ISBLANK(N133)),"A",IFERROR(+MOD(N133-N132,1),N131))</f>
        <v>0.375</v>
      </c>
      <c r="O134" s="24">
        <f t="shared" ref="O134" si="472">IF(AND(ISBLANK(O132),ISBLANK(O133)),"A",IFERROR(+MOD(O133-O132,1),O131))</f>
        <v>0.375</v>
      </c>
      <c r="P134" s="24">
        <f t="shared" ref="P134" si="473">IF(AND(ISBLANK(P132),ISBLANK(P133)),"A",IFERROR(+MOD(P133-P132,1),P131))</f>
        <v>0.40277777777777779</v>
      </c>
      <c r="Q134" s="24">
        <f t="shared" ref="Q134" si="474">IF(AND(ISBLANK(Q132),ISBLANK(Q133)),"A",IFERROR(+MOD(Q133-Q132,1),Q131))</f>
        <v>0.375</v>
      </c>
      <c r="R134" s="24" t="s">
        <v>5</v>
      </c>
      <c r="S134" s="24">
        <f t="shared" ref="S134" si="475">IF(AND(ISBLANK(S132),ISBLANK(S133)),"A",IFERROR(+MOD(S133-S132,1),S131))</f>
        <v>0.54166666666666663</v>
      </c>
      <c r="T134" s="24">
        <f t="shared" ref="T134" si="476">IF(AND(ISBLANK(T132),ISBLANK(T133)),"A",IFERROR(+MOD(T133-T132,1),T131))</f>
        <v>0.375</v>
      </c>
      <c r="U134" s="24">
        <f t="shared" ref="U134" si="477">IF(AND(ISBLANK(U132),ISBLANK(U133)),"A",IFERROR(+MOD(U133-U132,1),U131))</f>
        <v>0.60069444444444453</v>
      </c>
      <c r="V134" s="24">
        <f t="shared" ref="V134" si="478">IF(AND(ISBLANK(V132),ISBLANK(V133)),"A",IFERROR(+MOD(V133-V132,1),V131))</f>
        <v>0.375</v>
      </c>
      <c r="W134" s="24">
        <f t="shared" ref="W134" si="479">IF(AND(ISBLANK(W132),ISBLANK(W133)),"A",IFERROR(+MOD(W133-W132,1),W131))</f>
        <v>0.375</v>
      </c>
      <c r="X134" s="24">
        <f t="shared" ref="X134" si="480">IF(AND(ISBLANK(X132),ISBLANK(X133)),"A",IFERROR(+MOD(X133-X132,1),X131))</f>
        <v>0.375</v>
      </c>
      <c r="Y134" s="24" t="s">
        <v>5</v>
      </c>
      <c r="Z134" s="24">
        <f t="shared" ref="Z134" si="481">IF(AND(ISBLANK(Z132),ISBLANK(Z133)),"A",IFERROR(+MOD(Z133-Z132,1),Z131))</f>
        <v>0.375</v>
      </c>
      <c r="AA134" s="24">
        <f t="shared" ref="AA134" si="482">IF(AND(ISBLANK(AA132),ISBLANK(AA133)),"A",IFERROR(+MOD(AA133-AA132,1),AA131))</f>
        <v>0.375</v>
      </c>
      <c r="AB134" s="24">
        <f t="shared" ref="AB134" si="483">IF(AND(ISBLANK(AB132),ISBLANK(AB133)),"A",IFERROR(+MOD(AB133-AB132,1),AB131))</f>
        <v>0.51388888888888884</v>
      </c>
      <c r="AC134" s="24">
        <f t="shared" ref="AC134" si="484">IF(AND(ISBLANK(AC132),ISBLANK(AC133)),"A",IFERROR(+MOD(AC133-AC132,1),AC131))</f>
        <v>0.46527777777777779</v>
      </c>
      <c r="AD134" s="24">
        <f t="shared" ref="AD134" si="485">IF(AND(ISBLANK(AD132),ISBLANK(AD133)),"A",IFERROR(+MOD(AD133-AD132,1),AD131))</f>
        <v>0.42361111111111116</v>
      </c>
      <c r="AE134" s="24">
        <f t="shared" ref="AE134" si="486">IF(AND(ISBLANK(AE132),ISBLANK(AE133)),"A",IFERROR(+MOD(AE133-AE132,1),AE131))</f>
        <v>0.375</v>
      </c>
      <c r="AF134" s="24" t="s">
        <v>5</v>
      </c>
      <c r="AG134" s="24">
        <f t="shared" ref="AG134" si="487">IF(AND(ISBLANK(AG132),ISBLANK(AG133)),"A",IFERROR(+MOD(AG133-AG132,1),AG131))</f>
        <v>0.375</v>
      </c>
      <c r="AH134" s="24">
        <f t="shared" ref="AH134" si="488">IF(AND(ISBLANK(AH132),ISBLANK(AH133)),"A",IFERROR(+MOD(AH133-AH132,1),AH131))</f>
        <v>0.375</v>
      </c>
      <c r="AI134" s="24">
        <f t="shared" ref="AI134" si="489">IF(AND(ISBLANK(AI132),ISBLANK(AI133)),"A",IFERROR(+MOD(AI133-AI132,1),AI131))</f>
        <v>0.375</v>
      </c>
      <c r="AJ134" s="24">
        <f t="shared" ref="AJ134" si="490">IF(AND(ISBLANK(AJ132),ISBLANK(AJ133)),"A",IFERROR(+MOD(AJ133-AJ132,1),AJ131))</f>
        <v>0.375</v>
      </c>
      <c r="AK134" s="24">
        <f t="shared" ref="AK134" si="491">IF(AND(ISBLANK(AK132),ISBLANK(AK133)),"A",IFERROR(+MOD(AK133-AK132,1),AK131))</f>
        <v>0.375</v>
      </c>
      <c r="AL134" s="24">
        <f t="shared" ref="AL134" si="492">IF(AND(ISBLANK(AL132),ISBLANK(AL133)),"A",IFERROR(+MOD(AL133-AL132,1),AL131))</f>
        <v>0.375</v>
      </c>
      <c r="AM134" s="24" t="s">
        <v>5</v>
      </c>
      <c r="AN134" s="17">
        <f>COUNT(F134:AM134)</f>
        <v>26</v>
      </c>
      <c r="AO134" s="21"/>
    </row>
    <row r="135" spans="1:41">
      <c r="A135" s="8" t="s">
        <v>102</v>
      </c>
      <c r="B135" s="12" t="s">
        <v>233</v>
      </c>
      <c r="C135" s="10" t="s">
        <v>91</v>
      </c>
      <c r="D135" s="10" t="s">
        <v>158</v>
      </c>
      <c r="E135" s="10" t="s">
        <v>171</v>
      </c>
      <c r="F135" s="11">
        <v>45885</v>
      </c>
      <c r="G135" s="12" t="s">
        <v>96</v>
      </c>
      <c r="H135" s="12" t="s">
        <v>18</v>
      </c>
      <c r="I135" s="13" t="s">
        <v>4</v>
      </c>
      <c r="J135" s="2" t="s">
        <v>5</v>
      </c>
      <c r="K135" s="2" t="s">
        <v>5</v>
      </c>
      <c r="L135" s="2" t="s">
        <v>5</v>
      </c>
      <c r="M135" s="2" t="s">
        <v>6</v>
      </c>
      <c r="N135" s="2" t="s">
        <v>6</v>
      </c>
      <c r="O135" s="2" t="s">
        <v>6</v>
      </c>
      <c r="P135" s="2" t="s">
        <v>6</v>
      </c>
      <c r="Q135" s="2" t="s">
        <v>6</v>
      </c>
      <c r="R135" s="2" t="s">
        <v>5</v>
      </c>
      <c r="S135" s="2" t="s">
        <v>6</v>
      </c>
      <c r="T135" s="2" t="s">
        <v>6</v>
      </c>
      <c r="U135" s="2" t="s">
        <v>6</v>
      </c>
      <c r="V135" s="2" t="s">
        <v>6</v>
      </c>
      <c r="W135" s="2" t="s">
        <v>6</v>
      </c>
      <c r="X135" s="2" t="s">
        <v>6</v>
      </c>
      <c r="Y135" s="2" t="s">
        <v>6</v>
      </c>
      <c r="Z135" s="2" t="s">
        <v>6</v>
      </c>
      <c r="AA135" s="2" t="s">
        <v>6</v>
      </c>
      <c r="AB135" s="2" t="s">
        <v>6</v>
      </c>
      <c r="AC135" s="2" t="s">
        <v>6</v>
      </c>
      <c r="AD135" s="2" t="s">
        <v>6</v>
      </c>
      <c r="AE135" s="2" t="s">
        <v>6</v>
      </c>
      <c r="AF135" s="2" t="s">
        <v>5</v>
      </c>
      <c r="AG135" s="2" t="s">
        <v>6</v>
      </c>
      <c r="AH135" s="2" t="s">
        <v>6</v>
      </c>
      <c r="AI135" s="2" t="s">
        <v>6</v>
      </c>
      <c r="AJ135" s="2" t="s">
        <v>6</v>
      </c>
      <c r="AK135" s="2" t="s">
        <v>6</v>
      </c>
      <c r="AL135" s="2" t="s">
        <v>199</v>
      </c>
      <c r="AM135" s="2" t="s">
        <v>6</v>
      </c>
      <c r="AN135" s="20"/>
      <c r="AO135" s="12" t="s">
        <v>18</v>
      </c>
    </row>
    <row r="136" spans="1:41">
      <c r="A136" s="1" t="s">
        <v>102</v>
      </c>
      <c r="B136" s="12" t="s">
        <v>233</v>
      </c>
      <c r="C136" s="1" t="s">
        <v>91</v>
      </c>
      <c r="D136" s="1" t="s">
        <v>158</v>
      </c>
      <c r="E136" s="1" t="s">
        <v>171</v>
      </c>
      <c r="F136" s="6">
        <v>45885</v>
      </c>
      <c r="G136" s="1" t="s">
        <v>96</v>
      </c>
      <c r="H136" s="12" t="s">
        <v>18</v>
      </c>
      <c r="I136" s="7" t="s">
        <v>7</v>
      </c>
      <c r="J136" s="2" t="s">
        <v>5</v>
      </c>
      <c r="K136" s="2" t="s">
        <v>5</v>
      </c>
      <c r="L136" s="2" t="s">
        <v>5</v>
      </c>
      <c r="M136" s="2">
        <v>0.375</v>
      </c>
      <c r="N136" s="2">
        <v>0.41666666666666669</v>
      </c>
      <c r="O136" s="2">
        <v>0.4513888888888889</v>
      </c>
      <c r="P136" s="2">
        <v>0.41666666666666669</v>
      </c>
      <c r="Q136" s="2">
        <v>0.3888888888888889</v>
      </c>
      <c r="R136" s="2" t="s">
        <v>5</v>
      </c>
      <c r="S136" s="2">
        <v>0.38194444444444442</v>
      </c>
      <c r="T136" s="2">
        <v>0.38194444444444442</v>
      </c>
      <c r="U136" s="2">
        <v>0.39930555555555558</v>
      </c>
      <c r="V136" s="2">
        <v>0.41666666666666669</v>
      </c>
      <c r="W136" s="2">
        <v>0.38541666666666669</v>
      </c>
      <c r="X136" s="2">
        <v>0.39583333333333331</v>
      </c>
      <c r="Y136" s="2">
        <v>0.43055555555555558</v>
      </c>
      <c r="Z136" s="2">
        <v>0.39583333333333331</v>
      </c>
      <c r="AA136" s="2">
        <v>0.38194444444444442</v>
      </c>
      <c r="AB136" s="2">
        <v>0.38194444444444442</v>
      </c>
      <c r="AC136" s="2">
        <v>0.39583333333333331</v>
      </c>
      <c r="AD136" s="2">
        <v>0.375</v>
      </c>
      <c r="AE136" s="2">
        <v>0.41666666666666669</v>
      </c>
      <c r="AF136" s="2" t="s">
        <v>5</v>
      </c>
      <c r="AG136" s="2">
        <v>0.39583333333333331</v>
      </c>
      <c r="AH136" s="2">
        <v>0.4201388888888889</v>
      </c>
      <c r="AI136" s="2">
        <v>0.41666666666666669</v>
      </c>
      <c r="AJ136" s="2">
        <v>0.4513888888888889</v>
      </c>
      <c r="AK136" s="2">
        <v>0.41666666666666669</v>
      </c>
      <c r="AL136" s="2">
        <v>0.4236111111111111</v>
      </c>
      <c r="AM136" s="2">
        <v>0.52916666666666667</v>
      </c>
      <c r="AN136" s="20"/>
      <c r="AO136" s="12"/>
    </row>
    <row r="137" spans="1:41">
      <c r="A137" s="1" t="s">
        <v>102</v>
      </c>
      <c r="B137" s="12" t="s">
        <v>233</v>
      </c>
      <c r="C137" s="1" t="s">
        <v>91</v>
      </c>
      <c r="D137" s="1" t="s">
        <v>158</v>
      </c>
      <c r="E137" s="1" t="s">
        <v>171</v>
      </c>
      <c r="F137" s="6">
        <v>45885</v>
      </c>
      <c r="G137" s="1" t="s">
        <v>96</v>
      </c>
      <c r="H137" s="12" t="s">
        <v>18</v>
      </c>
      <c r="I137" s="7" t="s">
        <v>8</v>
      </c>
      <c r="J137" s="2" t="s">
        <v>5</v>
      </c>
      <c r="K137" s="2" t="s">
        <v>5</v>
      </c>
      <c r="L137" s="2" t="s">
        <v>5</v>
      </c>
      <c r="M137" s="2">
        <v>0.91666666666666663</v>
      </c>
      <c r="N137" s="2">
        <v>0.13541666666666666</v>
      </c>
      <c r="O137" s="2">
        <v>0.49305555555555558</v>
      </c>
      <c r="P137" s="2">
        <v>0.88194444444444453</v>
      </c>
      <c r="Q137" s="2">
        <v>0.17361111111111113</v>
      </c>
      <c r="R137" s="2" t="s">
        <v>5</v>
      </c>
      <c r="S137" s="2">
        <v>0.7631944444444444</v>
      </c>
      <c r="T137" s="2">
        <v>6.25E-2</v>
      </c>
      <c r="U137" s="2">
        <v>1.0277777777777779</v>
      </c>
      <c r="V137" s="2">
        <v>0.84027777777777779</v>
      </c>
      <c r="W137" s="2">
        <v>1.0069444444444444</v>
      </c>
      <c r="X137" s="2">
        <v>6.5972222222222224E-2</v>
      </c>
      <c r="Y137" s="2">
        <v>4.8611111111111112E-2</v>
      </c>
      <c r="Z137" s="2">
        <v>0.89583333333333337</v>
      </c>
      <c r="AA137" s="2">
        <v>0.75</v>
      </c>
      <c r="AB137" s="2">
        <v>0.9375</v>
      </c>
      <c r="AC137" s="2">
        <v>0.97916666666666663</v>
      </c>
      <c r="AD137" s="2">
        <v>6.25E-2</v>
      </c>
      <c r="AE137" s="2">
        <v>0.20833333333333334</v>
      </c>
      <c r="AF137" s="2" t="s">
        <v>5</v>
      </c>
      <c r="AG137" s="2">
        <v>0.10416666666666667</v>
      </c>
      <c r="AH137" s="2">
        <v>1.0104166666666667</v>
      </c>
      <c r="AI137" s="2">
        <v>8.6805555555555566E-2</v>
      </c>
      <c r="AJ137" s="2">
        <v>0.75694444444444453</v>
      </c>
      <c r="AK137" s="2">
        <v>4.5138888888888888E-2</v>
      </c>
      <c r="AL137" s="2">
        <v>0.1875</v>
      </c>
      <c r="AM137" s="2">
        <v>0.15625</v>
      </c>
      <c r="AN137" s="20"/>
      <c r="AO137" s="12"/>
    </row>
    <row r="138" spans="1:41">
      <c r="A138" s="21" t="s">
        <v>102</v>
      </c>
      <c r="B138" s="21" t="s">
        <v>233</v>
      </c>
      <c r="C138" s="21" t="s">
        <v>91</v>
      </c>
      <c r="D138" s="21" t="s">
        <v>158</v>
      </c>
      <c r="E138" s="21" t="s">
        <v>171</v>
      </c>
      <c r="F138" s="22">
        <v>45885</v>
      </c>
      <c r="G138" s="21" t="s">
        <v>96</v>
      </c>
      <c r="H138" s="21" t="s">
        <v>18</v>
      </c>
      <c r="I138" s="23" t="s">
        <v>9</v>
      </c>
      <c r="J138" s="24" t="s">
        <v>5</v>
      </c>
      <c r="K138" s="24" t="s">
        <v>5</v>
      </c>
      <c r="L138" s="24" t="s">
        <v>5</v>
      </c>
      <c r="M138" s="24">
        <f t="shared" ref="M138" si="493">IF(AND(ISBLANK(M136),ISBLANK(M137)),"A",IFERROR(+MOD(M137-M136,1),M135))</f>
        <v>0.54166666666666663</v>
      </c>
      <c r="N138" s="24">
        <f t="shared" ref="N138" si="494">IF(AND(ISBLANK(N136),ISBLANK(N137)),"A",IFERROR(+MOD(N137-N136,1),N135))</f>
        <v>0.71875</v>
      </c>
      <c r="O138" s="24">
        <f t="shared" ref="O138" si="495">IF(AND(ISBLANK(O136),ISBLANK(O137)),"A",IFERROR(+MOD(O137-O136,1),O135))</f>
        <v>4.1666666666666685E-2</v>
      </c>
      <c r="P138" s="24">
        <f t="shared" ref="P138" si="496">IF(AND(ISBLANK(P136),ISBLANK(P137)),"A",IFERROR(+MOD(P137-P136,1),P135))</f>
        <v>0.46527777777777785</v>
      </c>
      <c r="Q138" s="24">
        <f t="shared" ref="Q138" si="497">IF(AND(ISBLANK(Q136),ISBLANK(Q137)),"A",IFERROR(+MOD(Q137-Q136,1),Q135))</f>
        <v>0.78472222222222221</v>
      </c>
      <c r="R138" s="24" t="s">
        <v>5</v>
      </c>
      <c r="S138" s="24">
        <f t="shared" ref="S138" si="498">IF(AND(ISBLANK(S136),ISBLANK(S137)),"A",IFERROR(+MOD(S137-S136,1),S135))</f>
        <v>0.38124999999999998</v>
      </c>
      <c r="T138" s="24">
        <f t="shared" ref="T138" si="499">IF(AND(ISBLANK(T136),ISBLANK(T137)),"A",IFERROR(+MOD(T137-T136,1),T135))</f>
        <v>0.68055555555555558</v>
      </c>
      <c r="U138" s="24">
        <f t="shared" ref="U138" si="500">IF(AND(ISBLANK(U136),ISBLANK(U137)),"A",IFERROR(+MOD(U137-U136,1),U135))</f>
        <v>0.62847222222222232</v>
      </c>
      <c r="V138" s="24">
        <f t="shared" ref="V138" si="501">IF(AND(ISBLANK(V136),ISBLANK(V137)),"A",IFERROR(+MOD(V137-V136,1),V135))</f>
        <v>0.4236111111111111</v>
      </c>
      <c r="W138" s="24">
        <f t="shared" ref="W138" si="502">IF(AND(ISBLANK(W136),ISBLANK(W137)),"A",IFERROR(+MOD(W137-W136,1),W135))</f>
        <v>0.62152777777777768</v>
      </c>
      <c r="X138" s="24">
        <f t="shared" ref="X138" si="503">IF(AND(ISBLANK(X136),ISBLANK(X137)),"A",IFERROR(+MOD(X137-X136,1),X135))</f>
        <v>0.67013888888888884</v>
      </c>
      <c r="Y138" s="24">
        <f t="shared" ref="Y138" si="504">IF(AND(ISBLANK(Y136),ISBLANK(Y137)),"A",IFERROR(+MOD(Y137-Y136,1),Y135))</f>
        <v>0.61805555555555558</v>
      </c>
      <c r="Z138" s="24">
        <f t="shared" ref="Z138" si="505">IF(AND(ISBLANK(Z136),ISBLANK(Z137)),"A",IFERROR(+MOD(Z137-Z136,1),Z135))</f>
        <v>0.5</v>
      </c>
      <c r="AA138" s="24">
        <f t="shared" ref="AA138" si="506">IF(AND(ISBLANK(AA136),ISBLANK(AA137)),"A",IFERROR(+MOD(AA137-AA136,1),AA135))</f>
        <v>0.36805555555555558</v>
      </c>
      <c r="AB138" s="24">
        <f t="shared" ref="AB138" si="507">IF(AND(ISBLANK(AB136),ISBLANK(AB137)),"A",IFERROR(+MOD(AB137-AB136,1),AB135))</f>
        <v>0.55555555555555558</v>
      </c>
      <c r="AC138" s="24">
        <f t="shared" ref="AC138" si="508">IF(AND(ISBLANK(AC136),ISBLANK(AC137)),"A",IFERROR(+MOD(AC137-AC136,1),AC135))</f>
        <v>0.58333333333333326</v>
      </c>
      <c r="AD138" s="24">
        <f t="shared" ref="AD138" si="509">IF(AND(ISBLANK(AD136),ISBLANK(AD137)),"A",IFERROR(+MOD(AD137-AD136,1),AD135))</f>
        <v>0.6875</v>
      </c>
      <c r="AE138" s="24">
        <f t="shared" ref="AE138" si="510">IF(AND(ISBLANK(AE136),ISBLANK(AE137)),"A",IFERROR(+MOD(AE137-AE136,1),AE135))</f>
        <v>0.79166666666666663</v>
      </c>
      <c r="AF138" s="24" t="s">
        <v>5</v>
      </c>
      <c r="AG138" s="24">
        <f t="shared" ref="AG138" si="511">IF(AND(ISBLANK(AG136),ISBLANK(AG137)),"A",IFERROR(+MOD(AG137-AG136,1),AG135))</f>
        <v>0.70833333333333337</v>
      </c>
      <c r="AH138" s="24">
        <f t="shared" ref="AH138" si="512">IF(AND(ISBLANK(AH136),ISBLANK(AH137)),"A",IFERROR(+MOD(AH137-AH136,1),AH135))</f>
        <v>0.5902777777777779</v>
      </c>
      <c r="AI138" s="24">
        <f t="shared" ref="AI138" si="513">IF(AND(ISBLANK(AI136),ISBLANK(AI137)),"A",IFERROR(+MOD(AI137-AI136,1),AI135))</f>
        <v>0.67013888888888884</v>
      </c>
      <c r="AJ138" s="24">
        <f t="shared" ref="AJ138" si="514">IF(AND(ISBLANK(AJ136),ISBLANK(AJ137)),"A",IFERROR(+MOD(AJ137-AJ136,1),AJ135))</f>
        <v>0.30555555555555564</v>
      </c>
      <c r="AK138" s="24">
        <f t="shared" ref="AK138" si="515">IF(AND(ISBLANK(AK136),ISBLANK(AK137)),"A",IFERROR(+MOD(AK137-AK136,1),AK135))</f>
        <v>0.62847222222222221</v>
      </c>
      <c r="AL138" s="24">
        <f t="shared" ref="AL138" si="516">IF(AND(ISBLANK(AL136),ISBLANK(AL137)),"A",IFERROR(+MOD(AL137-AL136,1),AL135))</f>
        <v>0.76388888888888884</v>
      </c>
      <c r="AM138" s="24">
        <f t="shared" ref="AM138" si="517">IF(AND(ISBLANK(AM136),ISBLANK(AM137)),"A",IFERROR(+MOD(AM137-AM136,1),AM135))</f>
        <v>0.62708333333333333</v>
      </c>
      <c r="AN138" s="17">
        <f>COUNT(F138:AM138)</f>
        <v>26</v>
      </c>
      <c r="AO138" s="21"/>
    </row>
    <row r="139" spans="1:41">
      <c r="A139" s="8" t="s">
        <v>105</v>
      </c>
      <c r="B139" s="12" t="s">
        <v>233</v>
      </c>
      <c r="C139" s="10" t="s">
        <v>94</v>
      </c>
      <c r="D139" s="10" t="s">
        <v>158</v>
      </c>
      <c r="E139" s="10" t="s">
        <v>173</v>
      </c>
      <c r="F139" s="11">
        <v>45885</v>
      </c>
      <c r="G139" s="12" t="s">
        <v>96</v>
      </c>
      <c r="H139" s="12" t="s">
        <v>18</v>
      </c>
      <c r="I139" s="13" t="s">
        <v>4</v>
      </c>
      <c r="J139" s="2" t="s">
        <v>5</v>
      </c>
      <c r="K139" s="2" t="s">
        <v>5</v>
      </c>
      <c r="L139" s="2" t="s">
        <v>5</v>
      </c>
      <c r="M139" s="2" t="s">
        <v>6</v>
      </c>
      <c r="N139" s="2" t="s">
        <v>6</v>
      </c>
      <c r="O139" s="2" t="s">
        <v>6</v>
      </c>
      <c r="P139" s="2" t="s">
        <v>6</v>
      </c>
      <c r="Q139" s="2" t="s">
        <v>6</v>
      </c>
      <c r="R139" s="2" t="s">
        <v>5</v>
      </c>
      <c r="S139" s="2" t="s">
        <v>6</v>
      </c>
      <c r="T139" s="2" t="s">
        <v>6</v>
      </c>
      <c r="U139" s="2" t="s">
        <v>6</v>
      </c>
      <c r="V139" s="2" t="s">
        <v>6</v>
      </c>
      <c r="W139" s="2" t="s">
        <v>6</v>
      </c>
      <c r="X139" s="2" t="s">
        <v>5</v>
      </c>
      <c r="Y139" s="2" t="s">
        <v>5</v>
      </c>
      <c r="Z139" s="2" t="s">
        <v>6</v>
      </c>
      <c r="AA139" s="2" t="s">
        <v>6</v>
      </c>
      <c r="AB139" s="2" t="s">
        <v>6</v>
      </c>
      <c r="AC139" s="2" t="s">
        <v>6</v>
      </c>
      <c r="AD139" s="2" t="s">
        <v>6</v>
      </c>
      <c r="AE139" s="2" t="s">
        <v>6</v>
      </c>
      <c r="AF139" s="2" t="s">
        <v>5</v>
      </c>
      <c r="AG139" s="2" t="s">
        <v>6</v>
      </c>
      <c r="AH139" s="2" t="s">
        <v>6</v>
      </c>
      <c r="AI139" s="2" t="s">
        <v>6</v>
      </c>
      <c r="AJ139" s="2" t="s">
        <v>6</v>
      </c>
      <c r="AK139" s="2" t="s">
        <v>215</v>
      </c>
      <c r="AL139" s="2" t="s">
        <v>5</v>
      </c>
      <c r="AM139" s="2" t="s">
        <v>5</v>
      </c>
      <c r="AN139" s="20"/>
      <c r="AO139" s="12" t="s">
        <v>18</v>
      </c>
    </row>
    <row r="140" spans="1:41">
      <c r="A140" s="1" t="s">
        <v>105</v>
      </c>
      <c r="B140" s="12" t="s">
        <v>233</v>
      </c>
      <c r="C140" s="1" t="s">
        <v>94</v>
      </c>
      <c r="D140" s="1" t="s">
        <v>158</v>
      </c>
      <c r="E140" s="1" t="s">
        <v>173</v>
      </c>
      <c r="F140" s="6">
        <v>45885</v>
      </c>
      <c r="G140" s="1" t="s">
        <v>96</v>
      </c>
      <c r="H140" s="12" t="s">
        <v>18</v>
      </c>
      <c r="I140" s="7" t="s">
        <v>7</v>
      </c>
      <c r="J140" s="2" t="s">
        <v>5</v>
      </c>
      <c r="K140" s="2" t="s">
        <v>5</v>
      </c>
      <c r="L140" s="2" t="s">
        <v>5</v>
      </c>
      <c r="M140" s="2">
        <v>0.4375</v>
      </c>
      <c r="N140" s="2">
        <v>0.45833333333333331</v>
      </c>
      <c r="O140" s="2">
        <v>0.41666666666666669</v>
      </c>
      <c r="P140" s="2">
        <v>0.51736111111111105</v>
      </c>
      <c r="Q140" s="2">
        <v>0.4375</v>
      </c>
      <c r="R140" s="2" t="s">
        <v>5</v>
      </c>
      <c r="S140" s="2">
        <v>0.39583333333333331</v>
      </c>
      <c r="T140" s="2">
        <v>0.45833333333333331</v>
      </c>
      <c r="U140" s="2">
        <v>0.41666666666666669</v>
      </c>
      <c r="V140" s="2">
        <v>0.41666666666666669</v>
      </c>
      <c r="W140" s="2">
        <v>0.41666666666666669</v>
      </c>
      <c r="X140" s="2" t="s">
        <v>5</v>
      </c>
      <c r="Y140" s="2" t="s">
        <v>5</v>
      </c>
      <c r="Z140" s="2">
        <v>0.375</v>
      </c>
      <c r="AA140" s="2">
        <v>0.39583333333333331</v>
      </c>
      <c r="AB140" s="2">
        <v>0.38194444444444442</v>
      </c>
      <c r="AC140" s="2">
        <v>0.39583333333333331</v>
      </c>
      <c r="AD140" s="2">
        <v>0.375</v>
      </c>
      <c r="AE140" s="2">
        <v>0.41666666666666669</v>
      </c>
      <c r="AF140" s="2" t="s">
        <v>5</v>
      </c>
      <c r="AG140" s="2">
        <v>0.41666666666666669</v>
      </c>
      <c r="AH140" s="2">
        <v>0.44791666666666669</v>
      </c>
      <c r="AI140" s="2">
        <v>0.39583333333333331</v>
      </c>
      <c r="AJ140" s="2">
        <v>0.41666666666666669</v>
      </c>
      <c r="AK140" s="2" t="s">
        <v>5</v>
      </c>
      <c r="AL140" s="2" t="s">
        <v>5</v>
      </c>
      <c r="AM140" s="2" t="s">
        <v>5</v>
      </c>
      <c r="AN140" s="20"/>
      <c r="AO140" s="12"/>
    </row>
    <row r="141" spans="1:41">
      <c r="A141" s="1" t="s">
        <v>105</v>
      </c>
      <c r="B141" s="12" t="s">
        <v>233</v>
      </c>
      <c r="C141" s="1" t="s">
        <v>94</v>
      </c>
      <c r="D141" s="1" t="s">
        <v>158</v>
      </c>
      <c r="E141" s="1" t="s">
        <v>173</v>
      </c>
      <c r="F141" s="6">
        <v>45885</v>
      </c>
      <c r="G141" s="1" t="s">
        <v>96</v>
      </c>
      <c r="H141" s="12" t="s">
        <v>18</v>
      </c>
      <c r="I141" s="7" t="s">
        <v>8</v>
      </c>
      <c r="J141" s="2" t="s">
        <v>5</v>
      </c>
      <c r="K141" s="2" t="s">
        <v>5</v>
      </c>
      <c r="L141" s="2" t="s">
        <v>5</v>
      </c>
      <c r="M141" s="2">
        <v>4.1666666666666664E-2</v>
      </c>
      <c r="N141" s="2">
        <v>0.96527777777777779</v>
      </c>
      <c r="O141" s="2">
        <v>0.125</v>
      </c>
      <c r="P141" s="2">
        <v>1</v>
      </c>
      <c r="Q141" s="2">
        <v>0.18402777777777779</v>
      </c>
      <c r="R141" s="2" t="s">
        <v>5</v>
      </c>
      <c r="S141" s="2">
        <v>0.97222222222222221</v>
      </c>
      <c r="T141" s="2">
        <v>6.25E-2</v>
      </c>
      <c r="U141" s="2">
        <v>0.95833333333333337</v>
      </c>
      <c r="V141" s="2">
        <v>0.84375</v>
      </c>
      <c r="W141" s="2">
        <v>0.94652777777777775</v>
      </c>
      <c r="X141" s="2" t="s">
        <v>5</v>
      </c>
      <c r="Y141" s="2" t="s">
        <v>5</v>
      </c>
      <c r="Z141" s="2">
        <v>0.875</v>
      </c>
      <c r="AA141" s="2">
        <v>0.89583333333333337</v>
      </c>
      <c r="AB141" s="2">
        <v>0.92708333333333337</v>
      </c>
      <c r="AC141" s="2">
        <v>0.89583333333333337</v>
      </c>
      <c r="AD141" s="2">
        <v>1.0069444444444444</v>
      </c>
      <c r="AE141" s="2">
        <v>6.25E-2</v>
      </c>
      <c r="AF141" s="2" t="s">
        <v>5</v>
      </c>
      <c r="AG141" s="2">
        <v>1.0034722222222221</v>
      </c>
      <c r="AH141" s="2">
        <v>0.875</v>
      </c>
      <c r="AI141" s="2">
        <v>0.94166666666666676</v>
      </c>
      <c r="AJ141" s="2">
        <v>0.125</v>
      </c>
      <c r="AK141" s="2" t="s">
        <v>5</v>
      </c>
      <c r="AL141" s="2" t="s">
        <v>5</v>
      </c>
      <c r="AM141" s="2" t="s">
        <v>5</v>
      </c>
      <c r="AN141" s="20"/>
      <c r="AO141" s="12"/>
    </row>
    <row r="142" spans="1:41">
      <c r="A142" s="21" t="s">
        <v>105</v>
      </c>
      <c r="B142" s="21" t="s">
        <v>233</v>
      </c>
      <c r="C142" s="21" t="s">
        <v>94</v>
      </c>
      <c r="D142" s="21" t="s">
        <v>158</v>
      </c>
      <c r="E142" s="21" t="s">
        <v>173</v>
      </c>
      <c r="F142" s="22">
        <v>45885</v>
      </c>
      <c r="G142" s="21" t="s">
        <v>96</v>
      </c>
      <c r="H142" s="21" t="s">
        <v>18</v>
      </c>
      <c r="I142" s="23" t="s">
        <v>9</v>
      </c>
      <c r="J142" s="24" t="s">
        <v>5</v>
      </c>
      <c r="K142" s="24" t="s">
        <v>5</v>
      </c>
      <c r="L142" s="24" t="s">
        <v>5</v>
      </c>
      <c r="M142" s="24">
        <f t="shared" ref="M142" si="518">IF(AND(ISBLANK(M140),ISBLANK(M141)),"A",IFERROR(+MOD(M141-M140,1),M139))</f>
        <v>0.60416666666666674</v>
      </c>
      <c r="N142" s="24">
        <f t="shared" ref="N142" si="519">IF(AND(ISBLANK(N140),ISBLANK(N141)),"A",IFERROR(+MOD(N141-N140,1),N139))</f>
        <v>0.50694444444444442</v>
      </c>
      <c r="O142" s="24">
        <f t="shared" ref="O142" si="520">IF(AND(ISBLANK(O140),ISBLANK(O141)),"A",IFERROR(+MOD(O141-O140,1),O139))</f>
        <v>0.70833333333333326</v>
      </c>
      <c r="P142" s="24">
        <f t="shared" ref="P142" si="521">IF(AND(ISBLANK(P140),ISBLANK(P141)),"A",IFERROR(+MOD(P141-P140,1),P139))</f>
        <v>0.48263888888888895</v>
      </c>
      <c r="Q142" s="24">
        <f t="shared" ref="Q142" si="522">IF(AND(ISBLANK(Q140),ISBLANK(Q141)),"A",IFERROR(+MOD(Q141-Q140,1),Q139))</f>
        <v>0.74652777777777779</v>
      </c>
      <c r="R142" s="24" t="s">
        <v>5</v>
      </c>
      <c r="S142" s="24">
        <f t="shared" ref="S142:T142" si="523">IF(AND(ISBLANK(S140),ISBLANK(S141)),"A",IFERROR(+MOD(S141-S140,1),S139))</f>
        <v>0.57638888888888884</v>
      </c>
      <c r="T142" s="24">
        <f t="shared" si="523"/>
        <v>0.60416666666666674</v>
      </c>
      <c r="U142" s="24">
        <f t="shared" ref="U142" si="524">IF(AND(ISBLANK(U140),ISBLANK(U141)),"A",IFERROR(+MOD(U141-U140,1),U139))</f>
        <v>0.54166666666666674</v>
      </c>
      <c r="V142" s="24">
        <f t="shared" ref="V142" si="525">IF(AND(ISBLANK(V140),ISBLANK(V141)),"A",IFERROR(+MOD(V141-V140,1),V139))</f>
        <v>0.42708333333333331</v>
      </c>
      <c r="W142" s="24">
        <f t="shared" ref="W142" si="526">IF(AND(ISBLANK(W140),ISBLANK(W141)),"A",IFERROR(+MOD(W141-W140,1),W139))</f>
        <v>0.52986111111111112</v>
      </c>
      <c r="X142" s="24" t="s">
        <v>5</v>
      </c>
      <c r="Y142" s="24" t="s">
        <v>5</v>
      </c>
      <c r="Z142" s="24">
        <f t="shared" ref="Z142" si="527">IF(AND(ISBLANK(Z140),ISBLANK(Z141)),"A",IFERROR(+MOD(Z141-Z140,1),Z139))</f>
        <v>0.5</v>
      </c>
      <c r="AA142" s="24">
        <f t="shared" ref="AA142" si="528">IF(AND(ISBLANK(AA140),ISBLANK(AA141)),"A",IFERROR(+MOD(AA141-AA140,1),AA139))</f>
        <v>0.5</v>
      </c>
      <c r="AB142" s="24">
        <f t="shared" ref="AB142" si="529">IF(AND(ISBLANK(AB140),ISBLANK(AB141)),"A",IFERROR(+MOD(AB141-AB140,1),AB139))</f>
        <v>0.54513888888888895</v>
      </c>
      <c r="AC142" s="24">
        <f t="shared" ref="AC142" si="530">IF(AND(ISBLANK(AC140),ISBLANK(AC141)),"A",IFERROR(+MOD(AC141-AC140,1),AC139))</f>
        <v>0.5</v>
      </c>
      <c r="AD142" s="24">
        <f t="shared" ref="AD142" si="531">IF(AND(ISBLANK(AD140),ISBLANK(AD141)),"A",IFERROR(+MOD(AD141-AD140,1),AD139))</f>
        <v>0.63194444444444442</v>
      </c>
      <c r="AE142" s="24">
        <f t="shared" ref="AE142" si="532">IF(AND(ISBLANK(AE140),ISBLANK(AE141)),"A",IFERROR(+MOD(AE141-AE140,1),AE139))</f>
        <v>0.64583333333333326</v>
      </c>
      <c r="AF142" s="24" t="s">
        <v>5</v>
      </c>
      <c r="AG142" s="24">
        <f t="shared" ref="AG142" si="533">IF(AND(ISBLANK(AG140),ISBLANK(AG141)),"A",IFERROR(+MOD(AG141-AG140,1),AG139))</f>
        <v>0.58680555555555536</v>
      </c>
      <c r="AH142" s="24">
        <f t="shared" ref="AH142" si="534">IF(AND(ISBLANK(AH140),ISBLANK(AH141)),"A",IFERROR(+MOD(AH141-AH140,1),AH139))</f>
        <v>0.42708333333333331</v>
      </c>
      <c r="AI142" s="24">
        <f t="shared" ref="AI142" si="535">IF(AND(ISBLANK(AI140),ISBLANK(AI141)),"A",IFERROR(+MOD(AI141-AI140,1),AI139))</f>
        <v>0.54583333333333339</v>
      </c>
      <c r="AJ142" s="24">
        <f t="shared" ref="AJ142" si="536">IF(AND(ISBLANK(AJ140),ISBLANK(AJ141)),"A",IFERROR(+MOD(AJ141-AJ140,1),AJ139))</f>
        <v>0.70833333333333326</v>
      </c>
      <c r="AK142" s="24" t="s">
        <v>5</v>
      </c>
      <c r="AL142" s="24" t="s">
        <v>5</v>
      </c>
      <c r="AM142" s="24" t="s">
        <v>5</v>
      </c>
      <c r="AN142" s="17">
        <f>COUNT(F142:AM142)</f>
        <v>21</v>
      </c>
      <c r="AO142" s="21"/>
    </row>
    <row r="143" spans="1:41">
      <c r="A143" s="8" t="s">
        <v>104</v>
      </c>
      <c r="B143" s="12" t="s">
        <v>235</v>
      </c>
      <c r="C143" s="10" t="s">
        <v>93</v>
      </c>
      <c r="D143" s="10" t="s">
        <v>158</v>
      </c>
      <c r="E143" s="10" t="s">
        <v>11</v>
      </c>
      <c r="F143" s="11">
        <v>45885</v>
      </c>
      <c r="G143" s="12" t="s">
        <v>96</v>
      </c>
      <c r="H143" s="12" t="s">
        <v>18</v>
      </c>
      <c r="I143" s="13" t="s">
        <v>4</v>
      </c>
      <c r="J143" s="2" t="s">
        <v>6</v>
      </c>
      <c r="K143" s="2" t="s">
        <v>5</v>
      </c>
      <c r="L143" s="2" t="s">
        <v>6</v>
      </c>
      <c r="M143" s="2" t="s">
        <v>6</v>
      </c>
      <c r="N143" s="2" t="s">
        <v>6</v>
      </c>
      <c r="O143" s="2" t="s">
        <v>6</v>
      </c>
      <c r="P143" s="2" t="s">
        <v>6</v>
      </c>
      <c r="Q143" s="2" t="s">
        <v>6</v>
      </c>
      <c r="R143" s="2" t="s">
        <v>5</v>
      </c>
      <c r="S143" s="2" t="s">
        <v>6</v>
      </c>
      <c r="T143" s="2" t="s">
        <v>5</v>
      </c>
      <c r="U143" s="2" t="s">
        <v>6</v>
      </c>
      <c r="V143" s="2" t="s">
        <v>6</v>
      </c>
      <c r="W143" s="2" t="s">
        <v>6</v>
      </c>
      <c r="X143" s="2" t="s">
        <v>6</v>
      </c>
      <c r="Y143" s="2" t="s">
        <v>5</v>
      </c>
      <c r="Z143" s="2" t="s">
        <v>6</v>
      </c>
      <c r="AA143" s="2" t="s">
        <v>6</v>
      </c>
      <c r="AB143" s="2" t="s">
        <v>6</v>
      </c>
      <c r="AC143" s="2" t="s">
        <v>6</v>
      </c>
      <c r="AD143" s="2" t="s">
        <v>6</v>
      </c>
      <c r="AE143" s="2" t="s">
        <v>6</v>
      </c>
      <c r="AF143" s="2" t="s">
        <v>5</v>
      </c>
      <c r="AG143" s="2" t="s">
        <v>6</v>
      </c>
      <c r="AH143" s="2" t="s">
        <v>6</v>
      </c>
      <c r="AI143" s="2" t="s">
        <v>6</v>
      </c>
      <c r="AJ143" s="2" t="s">
        <v>6</v>
      </c>
      <c r="AK143" s="2" t="s">
        <v>215</v>
      </c>
      <c r="AL143" s="2" t="s">
        <v>215</v>
      </c>
      <c r="AM143" s="2" t="s">
        <v>215</v>
      </c>
      <c r="AN143" s="20"/>
      <c r="AO143" s="12" t="s">
        <v>18</v>
      </c>
    </row>
    <row r="144" spans="1:41">
      <c r="A144" s="1" t="s">
        <v>104</v>
      </c>
      <c r="B144" s="12" t="s">
        <v>235</v>
      </c>
      <c r="C144" s="1" t="s">
        <v>93</v>
      </c>
      <c r="D144" s="1" t="s">
        <v>158</v>
      </c>
      <c r="E144" s="1" t="s">
        <v>11</v>
      </c>
      <c r="F144" s="6">
        <v>45885</v>
      </c>
      <c r="G144" s="1" t="s">
        <v>96</v>
      </c>
      <c r="H144" s="12" t="s">
        <v>18</v>
      </c>
      <c r="I144" s="7" t="s">
        <v>7</v>
      </c>
      <c r="J144" s="2">
        <v>0.375</v>
      </c>
      <c r="K144" s="2" t="s">
        <v>5</v>
      </c>
      <c r="L144" s="2">
        <v>0.375</v>
      </c>
      <c r="M144" s="2">
        <v>0.39583333333333331</v>
      </c>
      <c r="N144" s="2">
        <v>0.45833333333333331</v>
      </c>
      <c r="O144" s="2">
        <v>0.41666666666666669</v>
      </c>
      <c r="P144" s="2">
        <v>0.51736111111111105</v>
      </c>
      <c r="Q144" s="2">
        <v>0.4375</v>
      </c>
      <c r="R144" s="2" t="s">
        <v>5</v>
      </c>
      <c r="S144" s="2">
        <v>0.39583333333333331</v>
      </c>
      <c r="T144" s="2" t="s">
        <v>5</v>
      </c>
      <c r="U144" s="2">
        <v>0.41666666666666669</v>
      </c>
      <c r="V144" s="2">
        <v>0.41666666666666669</v>
      </c>
      <c r="W144" s="2">
        <v>0.41666666666666669</v>
      </c>
      <c r="X144" s="2">
        <v>0.43055555555555558</v>
      </c>
      <c r="Y144" s="2" t="s">
        <v>5</v>
      </c>
      <c r="Z144" s="2">
        <v>0.375</v>
      </c>
      <c r="AA144" s="2">
        <v>0.3888888888888889</v>
      </c>
      <c r="AB144" s="2">
        <v>0.38194444444444442</v>
      </c>
      <c r="AC144" s="2">
        <v>0.46527777777777773</v>
      </c>
      <c r="AD144" s="2">
        <v>0.39583333333333331</v>
      </c>
      <c r="AE144" s="2">
        <v>0.41666666666666669</v>
      </c>
      <c r="AF144" s="2" t="s">
        <v>5</v>
      </c>
      <c r="AG144" s="2">
        <v>0.41666666666666669</v>
      </c>
      <c r="AH144" s="2">
        <v>0.44791666666666669</v>
      </c>
      <c r="AI144" s="2">
        <v>0.47916666666666669</v>
      </c>
      <c r="AJ144" s="2">
        <v>0.41666666666666669</v>
      </c>
      <c r="AK144" s="2" t="s">
        <v>215</v>
      </c>
      <c r="AL144" s="2" t="s">
        <v>215</v>
      </c>
      <c r="AM144" s="2" t="s">
        <v>215</v>
      </c>
      <c r="AN144" s="20"/>
      <c r="AO144" s="12"/>
    </row>
    <row r="145" spans="1:41">
      <c r="A145" s="1" t="s">
        <v>104</v>
      </c>
      <c r="B145" s="12" t="s">
        <v>235</v>
      </c>
      <c r="C145" s="1" t="s">
        <v>93</v>
      </c>
      <c r="D145" s="1" t="s">
        <v>158</v>
      </c>
      <c r="E145" s="1" t="s">
        <v>11</v>
      </c>
      <c r="F145" s="6">
        <v>45885</v>
      </c>
      <c r="G145" s="1" t="s">
        <v>96</v>
      </c>
      <c r="H145" s="12" t="s">
        <v>18</v>
      </c>
      <c r="I145" s="7" t="s">
        <v>8</v>
      </c>
      <c r="J145" s="2">
        <v>0.77222222222222225</v>
      </c>
      <c r="K145" s="2" t="s">
        <v>5</v>
      </c>
      <c r="L145" s="2">
        <v>0.92222222222222217</v>
      </c>
      <c r="M145" s="2">
        <v>4.1666666666666664E-2</v>
      </c>
      <c r="N145" s="2">
        <v>0.96527777777777779</v>
      </c>
      <c r="O145" s="2">
        <v>0.125</v>
      </c>
      <c r="P145" s="2">
        <v>0.91666666666666663</v>
      </c>
      <c r="Q145" s="2">
        <v>0.18402777777777779</v>
      </c>
      <c r="R145" s="2" t="s">
        <v>5</v>
      </c>
      <c r="S145" s="2">
        <v>0.97222222222222221</v>
      </c>
      <c r="T145" s="2" t="s">
        <v>5</v>
      </c>
      <c r="U145" s="2">
        <v>0.95833333333333337</v>
      </c>
      <c r="V145" s="2">
        <v>0.91666666666666663</v>
      </c>
      <c r="W145" s="2">
        <v>1.0006944444444443</v>
      </c>
      <c r="X145" s="2">
        <v>0.125</v>
      </c>
      <c r="Y145" s="2" t="s">
        <v>5</v>
      </c>
      <c r="Z145" s="2">
        <v>0.95833333333333337</v>
      </c>
      <c r="AA145" s="2">
        <v>0.9375</v>
      </c>
      <c r="AB145" s="2">
        <v>9.7222222222222224E-2</v>
      </c>
      <c r="AC145" s="2">
        <v>0.87847222222222221</v>
      </c>
      <c r="AD145" s="2">
        <v>1.0069444444444444</v>
      </c>
      <c r="AE145" s="2">
        <v>4.1666666666666664E-2</v>
      </c>
      <c r="AF145" s="2" t="s">
        <v>5</v>
      </c>
      <c r="AG145" s="2">
        <v>4.4444444444444446E-2</v>
      </c>
      <c r="AH145" s="2">
        <v>6.25E-2</v>
      </c>
      <c r="AI145" s="2">
        <v>1.0013888888888889</v>
      </c>
      <c r="AJ145" s="2">
        <v>0.125</v>
      </c>
      <c r="AK145" s="2" t="s">
        <v>215</v>
      </c>
      <c r="AL145" s="2" t="s">
        <v>215</v>
      </c>
      <c r="AM145" s="2" t="s">
        <v>215</v>
      </c>
      <c r="AN145" s="20"/>
      <c r="AO145" s="12"/>
    </row>
    <row r="146" spans="1:41">
      <c r="A146" s="21" t="s">
        <v>104</v>
      </c>
      <c r="B146" s="21" t="s">
        <v>235</v>
      </c>
      <c r="C146" s="21" t="s">
        <v>93</v>
      </c>
      <c r="D146" s="21" t="s">
        <v>158</v>
      </c>
      <c r="E146" s="21" t="s">
        <v>11</v>
      </c>
      <c r="F146" s="22">
        <v>45885</v>
      </c>
      <c r="G146" s="21" t="s">
        <v>96</v>
      </c>
      <c r="H146" s="21" t="s">
        <v>18</v>
      </c>
      <c r="I146" s="23" t="s">
        <v>9</v>
      </c>
      <c r="J146" s="24">
        <f>IF(AND(ISBLANK(J144),ISBLANK(J145)),"A",IFERROR(+MOD(J145-J144,1),J143))</f>
        <v>0.39722222222222225</v>
      </c>
      <c r="K146" s="24" t="s">
        <v>5</v>
      </c>
      <c r="L146" s="24">
        <f t="shared" ref="L146" si="537">IF(AND(ISBLANK(L144),ISBLANK(L145)),"A",IFERROR(+MOD(L145-L144,1),L143))</f>
        <v>0.54722222222222217</v>
      </c>
      <c r="M146" s="24">
        <f t="shared" ref="M146" si="538">IF(AND(ISBLANK(M144),ISBLANK(M145)),"A",IFERROR(+MOD(M145-M144,1),M143))</f>
        <v>0.64583333333333337</v>
      </c>
      <c r="N146" s="24">
        <f t="shared" ref="N146" si="539">IF(AND(ISBLANK(N144),ISBLANK(N145)),"A",IFERROR(+MOD(N145-N144,1),N143))</f>
        <v>0.50694444444444442</v>
      </c>
      <c r="O146" s="24">
        <f t="shared" ref="O146" si="540">IF(AND(ISBLANK(O144),ISBLANK(O145)),"A",IFERROR(+MOD(O145-O144,1),O143))</f>
        <v>0.70833333333333326</v>
      </c>
      <c r="P146" s="24">
        <f t="shared" ref="P146:Q146" si="541">IF(AND(ISBLANK(P144),ISBLANK(P145)),"A",IFERROR(+MOD(P145-P144,1),P143))</f>
        <v>0.39930555555555558</v>
      </c>
      <c r="Q146" s="24">
        <f t="shared" si="541"/>
        <v>0.74652777777777779</v>
      </c>
      <c r="R146" s="24" t="s">
        <v>5</v>
      </c>
      <c r="S146" s="24">
        <f t="shared" ref="S146" si="542">IF(AND(ISBLANK(S144),ISBLANK(S145)),"A",IFERROR(+MOD(S145-S144,1),S143))</f>
        <v>0.57638888888888884</v>
      </c>
      <c r="T146" s="24" t="s">
        <v>5</v>
      </c>
      <c r="U146" s="24">
        <f t="shared" ref="U146" si="543">IF(AND(ISBLANK(U144),ISBLANK(U145)),"A",IFERROR(+MOD(U145-U144,1),U143))</f>
        <v>0.54166666666666674</v>
      </c>
      <c r="V146" s="24">
        <f t="shared" ref="V146" si="544">IF(AND(ISBLANK(V144),ISBLANK(V145)),"A",IFERROR(+MOD(V145-V144,1),V143))</f>
        <v>0.49999999999999994</v>
      </c>
      <c r="W146" s="24">
        <f t="shared" ref="W146" si="545">IF(AND(ISBLANK(W144),ISBLANK(W145)),"A",IFERROR(+MOD(W145-W144,1),W143))</f>
        <v>0.58402777777777759</v>
      </c>
      <c r="X146" s="24">
        <f t="shared" ref="X146" si="546">IF(AND(ISBLANK(X144),ISBLANK(X145)),"A",IFERROR(+MOD(X145-X144,1),X143))</f>
        <v>0.69444444444444442</v>
      </c>
      <c r="Y146" s="24" t="s">
        <v>5</v>
      </c>
      <c r="Z146" s="24">
        <f t="shared" ref="Z146" si="547">IF(AND(ISBLANK(Z144),ISBLANK(Z145)),"A",IFERROR(+MOD(Z145-Z144,1),Z143))</f>
        <v>0.58333333333333337</v>
      </c>
      <c r="AA146" s="24">
        <f t="shared" ref="AA146" si="548">IF(AND(ISBLANK(AA144),ISBLANK(AA145)),"A",IFERROR(+MOD(AA145-AA144,1),AA143))</f>
        <v>0.54861111111111116</v>
      </c>
      <c r="AB146" s="24">
        <f t="shared" ref="AB146:AC146" si="549">IF(AND(ISBLANK(AB144),ISBLANK(AB145)),"A",IFERROR(+MOD(AB145-AB144,1),AB143))</f>
        <v>0.71527777777777779</v>
      </c>
      <c r="AC146" s="24">
        <f t="shared" si="549"/>
        <v>0.41319444444444448</v>
      </c>
      <c r="AD146" s="24">
        <f t="shared" ref="AD146" si="550">IF(AND(ISBLANK(AD144),ISBLANK(AD145)),"A",IFERROR(+MOD(AD145-AD144,1),AD143))</f>
        <v>0.61111111111111116</v>
      </c>
      <c r="AE146" s="24">
        <f t="shared" ref="AE146" si="551">IF(AND(ISBLANK(AE144),ISBLANK(AE145)),"A",IFERROR(+MOD(AE145-AE144,1),AE143))</f>
        <v>0.625</v>
      </c>
      <c r="AF146" s="24" t="s">
        <v>5</v>
      </c>
      <c r="AG146" s="24">
        <f t="shared" ref="AG146" si="552">IF(AND(ISBLANK(AG144),ISBLANK(AG145)),"A",IFERROR(+MOD(AG145-AG144,1),AG143))</f>
        <v>0.62777777777777777</v>
      </c>
      <c r="AH146" s="24">
        <f t="shared" ref="AH146" si="553">IF(AND(ISBLANK(AH144),ISBLANK(AH145)),"A",IFERROR(+MOD(AH145-AH144,1),AH143))</f>
        <v>0.61458333333333326</v>
      </c>
      <c r="AI146" s="24">
        <f t="shared" ref="AI146" si="554">IF(AND(ISBLANK(AI144),ISBLANK(AI145)),"A",IFERROR(+MOD(AI145-AI144,1),AI143))</f>
        <v>0.52222222222222214</v>
      </c>
      <c r="AJ146" s="24">
        <f t="shared" ref="AJ146" si="555">IF(AND(ISBLANK(AJ144),ISBLANK(AJ145)),"A",IFERROR(+MOD(AJ145-AJ144,1),AJ143))</f>
        <v>0.70833333333333326</v>
      </c>
      <c r="AK146" s="24" t="s">
        <v>215</v>
      </c>
      <c r="AL146" s="24" t="s">
        <v>215</v>
      </c>
      <c r="AM146" s="24" t="s">
        <v>215</v>
      </c>
      <c r="AN146" s="17">
        <f>COUNT(F146:AM146)</f>
        <v>23</v>
      </c>
      <c r="AO146" s="21"/>
    </row>
    <row r="147" spans="1:41">
      <c r="A147" s="8" t="s">
        <v>99</v>
      </c>
      <c r="B147" s="12" t="s">
        <v>233</v>
      </c>
      <c r="C147" s="10" t="s">
        <v>14</v>
      </c>
      <c r="D147" s="10" t="s">
        <v>41</v>
      </c>
      <c r="E147" s="10" t="s">
        <v>166</v>
      </c>
      <c r="F147" s="11">
        <v>45881</v>
      </c>
      <c r="G147" s="12" t="s">
        <v>96</v>
      </c>
      <c r="H147" s="12" t="s">
        <v>18</v>
      </c>
      <c r="I147" s="13" t="s">
        <v>4</v>
      </c>
      <c r="J147" s="2" t="s">
        <v>6</v>
      </c>
      <c r="K147" s="2" t="s">
        <v>5</v>
      </c>
      <c r="L147" s="2" t="s">
        <v>6</v>
      </c>
      <c r="M147" s="2" t="s">
        <v>6</v>
      </c>
      <c r="N147" s="2" t="s">
        <v>6</v>
      </c>
      <c r="O147" s="2" t="s">
        <v>6</v>
      </c>
      <c r="P147" s="2" t="s">
        <v>6</v>
      </c>
      <c r="Q147" s="2" t="s">
        <v>6</v>
      </c>
      <c r="R147" s="2" t="s">
        <v>5</v>
      </c>
      <c r="S147" s="2" t="s">
        <v>6</v>
      </c>
      <c r="T147" s="2" t="s">
        <v>6</v>
      </c>
      <c r="U147" s="2" t="s">
        <v>6</v>
      </c>
      <c r="V147" s="2" t="s">
        <v>6</v>
      </c>
      <c r="W147" s="2" t="s">
        <v>6</v>
      </c>
      <c r="X147" s="2" t="s">
        <v>6</v>
      </c>
      <c r="Y147" s="2" t="s">
        <v>6</v>
      </c>
      <c r="Z147" s="2" t="s">
        <v>6</v>
      </c>
      <c r="AA147" s="2" t="s">
        <v>6</v>
      </c>
      <c r="AB147" s="2" t="s">
        <v>6</v>
      </c>
      <c r="AC147" s="2" t="s">
        <v>6</v>
      </c>
      <c r="AD147" s="2" t="s">
        <v>6</v>
      </c>
      <c r="AE147" s="2" t="s">
        <v>6</v>
      </c>
      <c r="AF147" s="2" t="s">
        <v>5</v>
      </c>
      <c r="AG147" s="2" t="s">
        <v>6</v>
      </c>
      <c r="AH147" s="2" t="s">
        <v>6</v>
      </c>
      <c r="AI147" s="2" t="s">
        <v>6</v>
      </c>
      <c r="AJ147" s="2" t="s">
        <v>6</v>
      </c>
      <c r="AK147" s="2" t="s">
        <v>6</v>
      </c>
      <c r="AL147" s="2" t="s">
        <v>6</v>
      </c>
      <c r="AM147" s="2" t="s">
        <v>5</v>
      </c>
      <c r="AN147" s="20"/>
      <c r="AO147" s="12" t="s">
        <v>18</v>
      </c>
    </row>
    <row r="148" spans="1:41">
      <c r="A148" s="1" t="s">
        <v>99</v>
      </c>
      <c r="B148" s="12" t="s">
        <v>233</v>
      </c>
      <c r="C148" s="1" t="s">
        <v>14</v>
      </c>
      <c r="D148" s="1" t="s">
        <v>41</v>
      </c>
      <c r="E148" s="1" t="s">
        <v>166</v>
      </c>
      <c r="F148" s="6">
        <v>45881</v>
      </c>
      <c r="G148" s="1" t="s">
        <v>96</v>
      </c>
      <c r="H148" s="12" t="s">
        <v>18</v>
      </c>
      <c r="I148" s="7" t="s">
        <v>7</v>
      </c>
      <c r="J148" s="2">
        <v>0.41666666666666669</v>
      </c>
      <c r="K148" s="2" t="s">
        <v>5</v>
      </c>
      <c r="L148" s="2">
        <v>0.41666666666666669</v>
      </c>
      <c r="M148" s="2">
        <v>0.40972222222222227</v>
      </c>
      <c r="N148" s="2">
        <v>0.41666666666666669</v>
      </c>
      <c r="O148" s="2">
        <v>0.40277777777777773</v>
      </c>
      <c r="P148" s="2">
        <v>0.41666666666666669</v>
      </c>
      <c r="Q148" s="2">
        <v>0.40138888888888885</v>
      </c>
      <c r="R148" s="2" t="s">
        <v>5</v>
      </c>
      <c r="S148" s="2">
        <v>0.41666666666666669</v>
      </c>
      <c r="T148" s="2">
        <v>0.40972222222222227</v>
      </c>
      <c r="U148" s="2">
        <v>0.3923611111111111</v>
      </c>
      <c r="V148" s="2">
        <v>0.44444444444444442</v>
      </c>
      <c r="W148" s="2">
        <v>0.40972222222222227</v>
      </c>
      <c r="X148" s="2">
        <v>0.41666666666666669</v>
      </c>
      <c r="Y148" s="2">
        <v>0.44791666666666669</v>
      </c>
      <c r="Z148" s="2">
        <v>0.44791666666666669</v>
      </c>
      <c r="AA148" s="2">
        <v>0.41666666666666669</v>
      </c>
      <c r="AB148" s="2">
        <v>0.41666666666666669</v>
      </c>
      <c r="AC148" s="2">
        <v>0.43055555555555558</v>
      </c>
      <c r="AD148" s="2">
        <v>0.43055555555555558</v>
      </c>
      <c r="AE148" s="2">
        <v>0.41666666666666669</v>
      </c>
      <c r="AF148" s="2" t="s">
        <v>5</v>
      </c>
      <c r="AG148" s="2">
        <v>0.61111111111111105</v>
      </c>
      <c r="AH148" s="2">
        <v>0.47222222222222227</v>
      </c>
      <c r="AI148" s="2">
        <v>0.46875</v>
      </c>
      <c r="AJ148" s="2">
        <v>0.52777777777777779</v>
      </c>
      <c r="AK148" s="2">
        <v>0.55555555555555558</v>
      </c>
      <c r="AL148" s="2">
        <v>0.57638888888888895</v>
      </c>
      <c r="AM148" s="2" t="s">
        <v>5</v>
      </c>
      <c r="AN148" s="20"/>
      <c r="AO148" s="12"/>
    </row>
    <row r="149" spans="1:41">
      <c r="A149" s="1" t="s">
        <v>99</v>
      </c>
      <c r="B149" s="12" t="s">
        <v>233</v>
      </c>
      <c r="C149" s="1" t="s">
        <v>14</v>
      </c>
      <c r="D149" s="1" t="s">
        <v>41</v>
      </c>
      <c r="E149" s="1" t="s">
        <v>166</v>
      </c>
      <c r="F149" s="6">
        <v>45881</v>
      </c>
      <c r="G149" s="1" t="s">
        <v>96</v>
      </c>
      <c r="H149" s="12" t="s">
        <v>18</v>
      </c>
      <c r="I149" s="7" t="s">
        <v>8</v>
      </c>
      <c r="J149" s="2">
        <v>4.8611111111111112E-2</v>
      </c>
      <c r="K149" s="2" t="s">
        <v>5</v>
      </c>
      <c r="L149" s="2">
        <v>0.91666666666666663</v>
      </c>
      <c r="M149" s="2">
        <v>0.13194444444444445</v>
      </c>
      <c r="N149" s="2">
        <v>1</v>
      </c>
      <c r="O149" s="2">
        <v>0.45833333333333331</v>
      </c>
      <c r="P149" s="2">
        <v>0.875</v>
      </c>
      <c r="Q149" s="2">
        <v>0.19791666666666666</v>
      </c>
      <c r="R149" s="2" t="s">
        <v>5</v>
      </c>
      <c r="S149" s="2">
        <v>0.97222222222222221</v>
      </c>
      <c r="T149" s="2">
        <v>0.11805555555555557</v>
      </c>
      <c r="U149" s="2">
        <v>7.6388888888888895E-2</v>
      </c>
      <c r="V149" s="2">
        <v>0.875</v>
      </c>
      <c r="W149" s="2">
        <v>1.0006944444444443</v>
      </c>
      <c r="X149" s="2">
        <v>6.5972222222222224E-2</v>
      </c>
      <c r="Y149" s="2">
        <v>9.375E-2</v>
      </c>
      <c r="Z149" s="2">
        <v>0.95833333333333337</v>
      </c>
      <c r="AA149" s="2">
        <v>0.9375</v>
      </c>
      <c r="AB149" s="2">
        <v>0.84375</v>
      </c>
      <c r="AC149" s="2">
        <v>0.97569444444444453</v>
      </c>
      <c r="AD149" s="2">
        <v>6.25E-2</v>
      </c>
      <c r="AE149" s="2">
        <v>0.2951388888888889</v>
      </c>
      <c r="AF149" s="2" t="s">
        <v>5</v>
      </c>
      <c r="AG149" s="2">
        <v>0.10416666666666667</v>
      </c>
      <c r="AH149" s="2">
        <v>1.0104166666666667</v>
      </c>
      <c r="AI149" s="2">
        <v>0.125</v>
      </c>
      <c r="AJ149" s="2">
        <v>0.10416666666666667</v>
      </c>
      <c r="AK149" s="2">
        <v>0.13958333333333334</v>
      </c>
      <c r="AL149" s="2">
        <v>0.20833333333333334</v>
      </c>
      <c r="AM149" s="2" t="s">
        <v>5</v>
      </c>
      <c r="AN149" s="20"/>
      <c r="AO149" s="12"/>
    </row>
    <row r="150" spans="1:41">
      <c r="A150" s="21" t="s">
        <v>99</v>
      </c>
      <c r="B150" s="21" t="s">
        <v>233</v>
      </c>
      <c r="C150" s="21" t="s">
        <v>14</v>
      </c>
      <c r="D150" s="21" t="s">
        <v>41</v>
      </c>
      <c r="E150" s="21" t="s">
        <v>166</v>
      </c>
      <c r="F150" s="22">
        <v>45881</v>
      </c>
      <c r="G150" s="21" t="s">
        <v>96</v>
      </c>
      <c r="H150" s="21" t="s">
        <v>18</v>
      </c>
      <c r="I150" s="23" t="s">
        <v>9</v>
      </c>
      <c r="J150" s="24">
        <f>IF(AND(ISBLANK(J148),ISBLANK(J149)),"A",IFERROR(+MOD(J149-J148,1),J147))</f>
        <v>0.63194444444444442</v>
      </c>
      <c r="K150" s="24" t="s">
        <v>5</v>
      </c>
      <c r="L150" s="24">
        <f t="shared" ref="L150" si="556">IF(AND(ISBLANK(L148),ISBLANK(L149)),"A",IFERROR(+MOD(L149-L148,1),L147))</f>
        <v>0.49999999999999994</v>
      </c>
      <c r="M150" s="24">
        <f t="shared" ref="M150" si="557">IF(AND(ISBLANK(M148),ISBLANK(M149)),"A",IFERROR(+MOD(M149-M148,1),M147))</f>
        <v>0.72222222222222221</v>
      </c>
      <c r="N150" s="24">
        <f t="shared" ref="N150" si="558">IF(AND(ISBLANK(N148),ISBLANK(N149)),"A",IFERROR(+MOD(N149-N148,1),N147))</f>
        <v>0.58333333333333326</v>
      </c>
      <c r="O150" s="24">
        <f t="shared" ref="O150" si="559">IF(AND(ISBLANK(O148),ISBLANK(O149)),"A",IFERROR(+MOD(O149-O148,1),O147))</f>
        <v>5.555555555555558E-2</v>
      </c>
      <c r="P150" s="24">
        <f t="shared" ref="P150" si="560">IF(AND(ISBLANK(P148),ISBLANK(P149)),"A",IFERROR(+MOD(P149-P148,1),P147))</f>
        <v>0.45833333333333331</v>
      </c>
      <c r="Q150" s="24">
        <f t="shared" ref="Q150" si="561">IF(AND(ISBLANK(Q148),ISBLANK(Q149)),"A",IFERROR(+MOD(Q149-Q148,1),Q147))</f>
        <v>0.79652777777777783</v>
      </c>
      <c r="R150" s="24" t="s">
        <v>6</v>
      </c>
      <c r="S150" s="24">
        <f t="shared" ref="S150" si="562">IF(AND(ISBLANK(S148),ISBLANK(S149)),"A",IFERROR(+MOD(S149-S148,1),S147))</f>
        <v>0.55555555555555558</v>
      </c>
      <c r="T150" s="24">
        <f t="shared" ref="T150" si="563">IF(AND(ISBLANK(T148),ISBLANK(T149)),"A",IFERROR(+MOD(T149-T148,1),T147))</f>
        <v>0.70833333333333326</v>
      </c>
      <c r="U150" s="24">
        <f t="shared" ref="U150" si="564">IF(AND(ISBLANK(U148),ISBLANK(U149)),"A",IFERROR(+MOD(U149-U148,1),U147))</f>
        <v>0.68402777777777779</v>
      </c>
      <c r="V150" s="24">
        <f t="shared" ref="V150" si="565">IF(AND(ISBLANK(V148),ISBLANK(V149)),"A",IFERROR(+MOD(V149-V148,1),V147))</f>
        <v>0.43055555555555558</v>
      </c>
      <c r="W150" s="24">
        <f t="shared" ref="W150" si="566">IF(AND(ISBLANK(W148),ISBLANK(W149)),"A",IFERROR(+MOD(W149-W148,1),W147))</f>
        <v>0.59097222222222201</v>
      </c>
      <c r="X150" s="24">
        <f t="shared" ref="X150" si="567">IF(AND(ISBLANK(X148),ISBLANK(X149)),"A",IFERROR(+MOD(X149-X148,1),X147))</f>
        <v>0.64930555555555558</v>
      </c>
      <c r="Y150" s="24">
        <f t="shared" ref="Y150" si="568">IF(AND(ISBLANK(Y148),ISBLANK(Y149)),"A",IFERROR(+MOD(Y149-Y148,1),Y147))</f>
        <v>0.64583333333333326</v>
      </c>
      <c r="Z150" s="24">
        <f t="shared" ref="Z150" si="569">IF(AND(ISBLANK(Z148),ISBLANK(Z149)),"A",IFERROR(+MOD(Z149-Z148,1),Z147))</f>
        <v>0.51041666666666674</v>
      </c>
      <c r="AA150" s="24">
        <f t="shared" ref="AA150" si="570">IF(AND(ISBLANK(AA148),ISBLANK(AA149)),"A",IFERROR(+MOD(AA149-AA148,1),AA147))</f>
        <v>0.52083333333333326</v>
      </c>
      <c r="AB150" s="24">
        <f t="shared" ref="AB150" si="571">IF(AND(ISBLANK(AB148),ISBLANK(AB149)),"A",IFERROR(+MOD(AB149-AB148,1),AB147))</f>
        <v>0.42708333333333331</v>
      </c>
      <c r="AC150" s="24">
        <f t="shared" ref="AC150" si="572">IF(AND(ISBLANK(AC148),ISBLANK(AC149)),"A",IFERROR(+MOD(AC149-AC148,1),AC147))</f>
        <v>0.54513888888888895</v>
      </c>
      <c r="AD150" s="24">
        <f t="shared" ref="AD150" si="573">IF(AND(ISBLANK(AD148),ISBLANK(AD149)),"A",IFERROR(+MOD(AD149-AD148,1),AD147))</f>
        <v>0.63194444444444442</v>
      </c>
      <c r="AE150" s="24">
        <f t="shared" ref="AE150" si="574">IF(AND(ISBLANK(AE148),ISBLANK(AE149)),"A",IFERROR(+MOD(AE149-AE148,1),AE147))</f>
        <v>0.87847222222222221</v>
      </c>
      <c r="AF150" s="24" t="s">
        <v>5</v>
      </c>
      <c r="AG150" s="24">
        <f t="shared" ref="AG150" si="575">IF(AND(ISBLANK(AG148),ISBLANK(AG149)),"A",IFERROR(+MOD(AG149-AG148,1),AG147))</f>
        <v>0.49305555555555558</v>
      </c>
      <c r="AH150" s="24">
        <f t="shared" ref="AH150" si="576">IF(AND(ISBLANK(AH148),ISBLANK(AH149)),"A",IFERROR(+MOD(AH149-AH148,1),AH147))</f>
        <v>0.53819444444444442</v>
      </c>
      <c r="AI150" s="24">
        <f t="shared" ref="AI150" si="577">IF(AND(ISBLANK(AI148),ISBLANK(AI149)),"A",IFERROR(+MOD(AI149-AI148,1),AI147))</f>
        <v>0.65625</v>
      </c>
      <c r="AJ150" s="24">
        <f t="shared" ref="AJ150:AK150" si="578">IF(AND(ISBLANK(AJ148),ISBLANK(AJ149)),"A",IFERROR(+MOD(AJ149-AJ148,1),AJ147))</f>
        <v>0.57638888888888884</v>
      </c>
      <c r="AK150" s="24">
        <f t="shared" si="578"/>
        <v>0.58402777777777781</v>
      </c>
      <c r="AL150" s="24">
        <f t="shared" ref="AL150" si="579">IF(AND(ISBLANK(AL148),ISBLANK(AL149)),"A",IFERROR(+MOD(AL149-AL148,1),AL147))</f>
        <v>0.63194444444444442</v>
      </c>
      <c r="AM150" s="24" t="s">
        <v>5</v>
      </c>
      <c r="AN150" s="17">
        <f>COUNT(F150:AM150)</f>
        <v>27</v>
      </c>
      <c r="AO150" s="21"/>
    </row>
    <row r="151" spans="1:41">
      <c r="A151" s="8" t="s">
        <v>97</v>
      </c>
      <c r="B151" s="12" t="s">
        <v>230</v>
      </c>
      <c r="C151" s="10" t="s">
        <v>89</v>
      </c>
      <c r="D151" s="10" t="s">
        <v>41</v>
      </c>
      <c r="E151" s="10" t="s">
        <v>167</v>
      </c>
      <c r="F151" s="11">
        <v>45885</v>
      </c>
      <c r="G151" s="12" t="s">
        <v>96</v>
      </c>
      <c r="H151" s="12" t="s">
        <v>18</v>
      </c>
      <c r="I151" s="13" t="s">
        <v>4</v>
      </c>
      <c r="J151" s="2" t="s">
        <v>5</v>
      </c>
      <c r="K151" s="2" t="s">
        <v>5</v>
      </c>
      <c r="L151" s="2" t="s">
        <v>5</v>
      </c>
      <c r="M151" s="2" t="s">
        <v>5</v>
      </c>
      <c r="N151" s="2" t="s">
        <v>5</v>
      </c>
      <c r="O151" s="2" t="s">
        <v>6</v>
      </c>
      <c r="P151" s="2" t="s">
        <v>6</v>
      </c>
      <c r="Q151" s="2" t="s">
        <v>6</v>
      </c>
      <c r="R151" s="2" t="s">
        <v>6</v>
      </c>
      <c r="S151" s="2" t="s">
        <v>6</v>
      </c>
      <c r="T151" s="2" t="s">
        <v>6</v>
      </c>
      <c r="U151" s="2" t="s">
        <v>6</v>
      </c>
      <c r="V151" s="2" t="s">
        <v>6</v>
      </c>
      <c r="W151" s="2" t="s">
        <v>6</v>
      </c>
      <c r="X151" s="2" t="s">
        <v>6</v>
      </c>
      <c r="Y151" s="2" t="s">
        <v>6</v>
      </c>
      <c r="Z151" s="2" t="s">
        <v>6</v>
      </c>
      <c r="AA151" s="2" t="s">
        <v>6</v>
      </c>
      <c r="AB151" s="2" t="s">
        <v>6</v>
      </c>
      <c r="AC151" s="2" t="s">
        <v>6</v>
      </c>
      <c r="AD151" s="2" t="s">
        <v>6</v>
      </c>
      <c r="AE151" s="2" t="s">
        <v>6</v>
      </c>
      <c r="AF151" s="2" t="s">
        <v>6</v>
      </c>
      <c r="AG151" s="2" t="s">
        <v>6</v>
      </c>
      <c r="AH151" s="2" t="s">
        <v>6</v>
      </c>
      <c r="AI151" s="2" t="s">
        <v>6</v>
      </c>
      <c r="AJ151" s="2" t="s">
        <v>6</v>
      </c>
      <c r="AK151" s="2" t="s">
        <v>6</v>
      </c>
      <c r="AL151" s="2" t="s">
        <v>6</v>
      </c>
      <c r="AM151" s="2" t="s">
        <v>5</v>
      </c>
      <c r="AN151" s="20"/>
      <c r="AO151" s="12" t="s">
        <v>18</v>
      </c>
    </row>
    <row r="152" spans="1:41">
      <c r="A152" s="1" t="s">
        <v>97</v>
      </c>
      <c r="B152" s="12" t="s">
        <v>230</v>
      </c>
      <c r="C152" s="1" t="s">
        <v>89</v>
      </c>
      <c r="D152" s="1" t="s">
        <v>41</v>
      </c>
      <c r="E152" s="1" t="s">
        <v>167</v>
      </c>
      <c r="F152" s="6">
        <v>45885</v>
      </c>
      <c r="G152" s="1" t="s">
        <v>96</v>
      </c>
      <c r="H152" s="12" t="s">
        <v>18</v>
      </c>
      <c r="I152" s="7" t="s">
        <v>7</v>
      </c>
      <c r="J152" s="2" t="s">
        <v>5</v>
      </c>
      <c r="K152" s="2" t="s">
        <v>5</v>
      </c>
      <c r="L152" s="2" t="s">
        <v>5</v>
      </c>
      <c r="M152" s="2" t="s">
        <v>5</v>
      </c>
      <c r="N152" s="2" t="s">
        <v>5</v>
      </c>
      <c r="O152" s="2">
        <v>0.4375</v>
      </c>
      <c r="P152" s="2">
        <v>0.44097222222222227</v>
      </c>
      <c r="Q152" s="2">
        <v>0.39305555555555555</v>
      </c>
      <c r="R152" s="2">
        <v>0.40277777777777773</v>
      </c>
      <c r="S152" s="2">
        <v>0.3923611111111111</v>
      </c>
      <c r="T152" s="2">
        <v>0.42708333333333331</v>
      </c>
      <c r="U152" s="2">
        <v>0.62152777777777779</v>
      </c>
      <c r="V152" s="2">
        <v>0.54166666666666663</v>
      </c>
      <c r="W152" s="2">
        <v>0.54166666666666663</v>
      </c>
      <c r="X152" s="2">
        <v>0.41666666666666669</v>
      </c>
      <c r="Y152" s="2">
        <v>0.40625</v>
      </c>
      <c r="Z152" s="2">
        <v>0.39374999999999999</v>
      </c>
      <c r="AA152" s="2">
        <v>0.40277777777777773</v>
      </c>
      <c r="AB152" s="2">
        <v>0.40277777777777773</v>
      </c>
      <c r="AC152" s="2">
        <v>0.39930555555555558</v>
      </c>
      <c r="AD152" s="2">
        <v>0.39930555555555558</v>
      </c>
      <c r="AE152" s="2">
        <v>0.3888888888888889</v>
      </c>
      <c r="AF152" s="2">
        <v>0.5</v>
      </c>
      <c r="AG152" s="2">
        <v>0.41111111111111115</v>
      </c>
      <c r="AH152" s="2">
        <v>0.4201388888888889</v>
      </c>
      <c r="AI152" s="2">
        <v>0.39583333333333331</v>
      </c>
      <c r="AJ152" s="2">
        <v>0.40277777777777773</v>
      </c>
      <c r="AK152" s="2">
        <v>0.54305555555555551</v>
      </c>
      <c r="AL152" s="2">
        <v>0.75</v>
      </c>
      <c r="AM152" s="2" t="s">
        <v>5</v>
      </c>
      <c r="AN152" s="20"/>
      <c r="AO152" s="12"/>
    </row>
    <row r="153" spans="1:41">
      <c r="A153" s="1" t="s">
        <v>97</v>
      </c>
      <c r="B153" s="12" t="s">
        <v>230</v>
      </c>
      <c r="C153" s="1" t="s">
        <v>89</v>
      </c>
      <c r="D153" s="1" t="s">
        <v>41</v>
      </c>
      <c r="E153" s="1" t="s">
        <v>167</v>
      </c>
      <c r="F153" s="6">
        <v>45885</v>
      </c>
      <c r="G153" s="1" t="s">
        <v>96</v>
      </c>
      <c r="H153" s="12" t="s">
        <v>18</v>
      </c>
      <c r="I153" s="7" t="s">
        <v>8</v>
      </c>
      <c r="J153" s="2" t="s">
        <v>5</v>
      </c>
      <c r="K153" s="2" t="s">
        <v>5</v>
      </c>
      <c r="L153" s="2" t="s">
        <v>5</v>
      </c>
      <c r="M153" s="2" t="s">
        <v>5</v>
      </c>
      <c r="N153" s="2" t="s">
        <v>5</v>
      </c>
      <c r="O153" s="2">
        <v>0.89583333333333337</v>
      </c>
      <c r="P153" s="2">
        <v>0.96527777777777779</v>
      </c>
      <c r="Q153" s="2">
        <v>0.96875</v>
      </c>
      <c r="R153" s="2">
        <v>0.81944444444444453</v>
      </c>
      <c r="S153" s="2">
        <v>0.93402777777777779</v>
      </c>
      <c r="T153" s="2">
        <v>0.20833333333333334</v>
      </c>
      <c r="U153" s="2">
        <v>0.20833333333333334</v>
      </c>
      <c r="V153" s="2">
        <v>0.19791666666666666</v>
      </c>
      <c r="W153" s="2">
        <v>1.0152777777777777</v>
      </c>
      <c r="X153" s="2">
        <v>0.95833333333333337</v>
      </c>
      <c r="Y153" s="2">
        <v>0.78263888888888899</v>
      </c>
      <c r="Z153" s="2">
        <v>0.875</v>
      </c>
      <c r="AA153" s="2">
        <v>0.84722222222222221</v>
      </c>
      <c r="AB153" s="2">
        <v>0.9375</v>
      </c>
      <c r="AC153" s="2">
        <v>0.86111111111111116</v>
      </c>
      <c r="AD153" s="2">
        <v>0.85416666666666663</v>
      </c>
      <c r="AE153" s="2">
        <v>0.1875</v>
      </c>
      <c r="AF153" s="2">
        <v>0.72916666666666663</v>
      </c>
      <c r="AG153" s="2">
        <v>7.2916666666666671E-2</v>
      </c>
      <c r="AH153" s="2">
        <v>1.03125</v>
      </c>
      <c r="AI153" s="2">
        <v>1.03125</v>
      </c>
      <c r="AJ153" s="2">
        <v>0.95833333333333337</v>
      </c>
      <c r="AK153" s="2">
        <v>0.20833333333333334</v>
      </c>
      <c r="AL153" s="2">
        <v>6.25E-2</v>
      </c>
      <c r="AM153" s="2" t="s">
        <v>5</v>
      </c>
      <c r="AN153" s="20"/>
      <c r="AO153" s="12"/>
    </row>
    <row r="154" spans="1:41">
      <c r="A154" s="21" t="s">
        <v>97</v>
      </c>
      <c r="B154" s="21" t="s">
        <v>230</v>
      </c>
      <c r="C154" s="21" t="s">
        <v>89</v>
      </c>
      <c r="D154" s="21" t="s">
        <v>41</v>
      </c>
      <c r="E154" s="21" t="s">
        <v>167</v>
      </c>
      <c r="F154" s="22">
        <v>45885</v>
      </c>
      <c r="G154" s="21" t="s">
        <v>96</v>
      </c>
      <c r="H154" s="21" t="s">
        <v>18</v>
      </c>
      <c r="I154" s="23" t="s">
        <v>9</v>
      </c>
      <c r="J154" s="24" t="s">
        <v>5</v>
      </c>
      <c r="K154" s="24" t="s">
        <v>5</v>
      </c>
      <c r="L154" s="24" t="s">
        <v>5</v>
      </c>
      <c r="M154" s="24" t="s">
        <v>5</v>
      </c>
      <c r="N154" s="24" t="s">
        <v>5</v>
      </c>
      <c r="O154" s="24">
        <f t="shared" ref="O154" si="580">IF(AND(ISBLANK(O152),ISBLANK(O153)),"A",IFERROR(+MOD(O153-O152,1),O151))</f>
        <v>0.45833333333333337</v>
      </c>
      <c r="P154" s="24">
        <f t="shared" ref="P154" si="581">IF(AND(ISBLANK(P152),ISBLANK(P153)),"A",IFERROR(+MOD(P153-P152,1),P151))</f>
        <v>0.52430555555555558</v>
      </c>
      <c r="Q154" s="24">
        <f t="shared" ref="Q154" si="582">IF(AND(ISBLANK(Q152),ISBLANK(Q153)),"A",IFERROR(+MOD(Q153-Q152,1),Q151))</f>
        <v>0.57569444444444451</v>
      </c>
      <c r="R154" s="24">
        <f t="shared" ref="R154" si="583">IF(AND(ISBLANK(R152),ISBLANK(R153)),"A",IFERROR(+MOD(R153-R152,1),R151))</f>
        <v>0.4166666666666668</v>
      </c>
      <c r="S154" s="24">
        <f t="shared" ref="S154" si="584">IF(AND(ISBLANK(S152),ISBLANK(S153)),"A",IFERROR(+MOD(S153-S152,1),S151))</f>
        <v>0.54166666666666674</v>
      </c>
      <c r="T154" s="24">
        <f t="shared" ref="T154:U154" si="585">IF(AND(ISBLANK(T152),ISBLANK(T153)),"A",IFERROR(+MOD(T153-T152,1),T151))</f>
        <v>0.78125</v>
      </c>
      <c r="U154" s="24">
        <f t="shared" si="585"/>
        <v>0.58680555555555558</v>
      </c>
      <c r="V154" s="24">
        <f t="shared" ref="V154:W154" si="586">IF(AND(ISBLANK(V152),ISBLANK(V153)),"A",IFERROR(+MOD(V153-V152,1),V151))</f>
        <v>0.65625</v>
      </c>
      <c r="W154" s="24">
        <f t="shared" si="586"/>
        <v>0.47361111111111109</v>
      </c>
      <c r="X154" s="24">
        <f t="shared" ref="X154" si="587">IF(AND(ISBLANK(X152),ISBLANK(X153)),"A",IFERROR(+MOD(X153-X152,1),X151))</f>
        <v>0.54166666666666674</v>
      </c>
      <c r="Y154" s="24">
        <f t="shared" ref="Y154" si="588">IF(AND(ISBLANK(Y152),ISBLANK(Y153)),"A",IFERROR(+MOD(Y153-Y152,1),Y151))</f>
        <v>0.37638888888888899</v>
      </c>
      <c r="Z154" s="24">
        <f t="shared" ref="Z154" si="589">IF(AND(ISBLANK(Z152),ISBLANK(Z153)),"A",IFERROR(+MOD(Z153-Z152,1),Z151))</f>
        <v>0.48125000000000001</v>
      </c>
      <c r="AA154" s="24">
        <f t="shared" ref="AA154" si="590">IF(AND(ISBLANK(AA152),ISBLANK(AA153)),"A",IFERROR(+MOD(AA153-AA152,1),AA151))</f>
        <v>0.44444444444444448</v>
      </c>
      <c r="AB154" s="24">
        <f t="shared" ref="AB154" si="591">IF(AND(ISBLANK(AB152),ISBLANK(AB153)),"A",IFERROR(+MOD(AB153-AB152,1),AB151))</f>
        <v>0.53472222222222232</v>
      </c>
      <c r="AC154" s="24">
        <f t="shared" ref="AC154" si="592">IF(AND(ISBLANK(AC152),ISBLANK(AC153)),"A",IFERROR(+MOD(AC153-AC152,1),AC151))</f>
        <v>0.46180555555555558</v>
      </c>
      <c r="AD154" s="24">
        <f t="shared" ref="AD154" si="593">IF(AND(ISBLANK(AD152),ISBLANK(AD153)),"A",IFERROR(+MOD(AD153-AD152,1),AD151))</f>
        <v>0.45486111111111105</v>
      </c>
      <c r="AE154" s="24">
        <f t="shared" ref="AE154:AF154" si="594">IF(AND(ISBLANK(AE152),ISBLANK(AE153)),"A",IFERROR(+MOD(AE153-AE152,1),AE151))</f>
        <v>0.79861111111111116</v>
      </c>
      <c r="AF154" s="24">
        <f t="shared" si="594"/>
        <v>0.22916666666666663</v>
      </c>
      <c r="AG154" s="24">
        <f t="shared" ref="AG154" si="595">IF(AND(ISBLANK(AG152),ISBLANK(AG153)),"A",IFERROR(+MOD(AG153-AG152,1),AG151))</f>
        <v>0.66180555555555554</v>
      </c>
      <c r="AH154" s="24">
        <f t="shared" ref="AH154" si="596">IF(AND(ISBLANK(AH152),ISBLANK(AH153)),"A",IFERROR(+MOD(AH153-AH152,1),AH151))</f>
        <v>0.61111111111111116</v>
      </c>
      <c r="AI154" s="24">
        <f t="shared" ref="AI154" si="597">IF(AND(ISBLANK(AI152),ISBLANK(AI153)),"A",IFERROR(+MOD(AI153-AI152,1),AI151))</f>
        <v>0.63541666666666674</v>
      </c>
      <c r="AJ154" s="24">
        <f t="shared" ref="AJ154:AK154" si="598">IF(AND(ISBLANK(AJ152),ISBLANK(AJ153)),"A",IFERROR(+MOD(AJ153-AJ152,1),AJ151))</f>
        <v>0.55555555555555558</v>
      </c>
      <c r="AK154" s="24">
        <f t="shared" si="598"/>
        <v>0.66527777777777786</v>
      </c>
      <c r="AL154" s="24">
        <f t="shared" ref="AL154" si="599">IF(AND(ISBLANK(AL152),ISBLANK(AL153)),"A",IFERROR(+MOD(AL153-AL152,1),AL151))</f>
        <v>0.3125</v>
      </c>
      <c r="AM154" s="24" t="s">
        <v>5</v>
      </c>
      <c r="AN154" s="17">
        <f>COUNT(F154:AM154)</f>
        <v>25</v>
      </c>
      <c r="AO154" s="21"/>
    </row>
    <row r="155" spans="1:41">
      <c r="A155" s="8" t="s">
        <v>101</v>
      </c>
      <c r="B155" s="12" t="s">
        <v>231</v>
      </c>
      <c r="C155" s="10" t="s">
        <v>156</v>
      </c>
      <c r="D155" s="10" t="s">
        <v>95</v>
      </c>
      <c r="E155" s="10" t="s">
        <v>170</v>
      </c>
      <c r="F155" s="11">
        <v>45886</v>
      </c>
      <c r="G155" s="12" t="s">
        <v>96</v>
      </c>
      <c r="H155" s="12" t="s">
        <v>18</v>
      </c>
      <c r="I155" s="13" t="s">
        <v>4</v>
      </c>
      <c r="J155" s="2" t="s">
        <v>6</v>
      </c>
      <c r="K155" s="2" t="s">
        <v>6</v>
      </c>
      <c r="L155" s="2" t="s">
        <v>6</v>
      </c>
      <c r="M155" s="2" t="s">
        <v>6</v>
      </c>
      <c r="N155" s="2" t="s">
        <v>6</v>
      </c>
      <c r="O155" s="2" t="s">
        <v>6</v>
      </c>
      <c r="P155" s="2" t="s">
        <v>6</v>
      </c>
      <c r="Q155" s="2" t="s">
        <v>6</v>
      </c>
      <c r="R155" s="2" t="s">
        <v>5</v>
      </c>
      <c r="S155" s="2" t="s">
        <v>215</v>
      </c>
      <c r="T155" s="2" t="s">
        <v>215</v>
      </c>
      <c r="U155" s="2" t="s">
        <v>215</v>
      </c>
      <c r="V155" s="2" t="s">
        <v>6</v>
      </c>
      <c r="W155" s="2" t="s">
        <v>6</v>
      </c>
      <c r="X155" s="2" t="s">
        <v>6</v>
      </c>
      <c r="Y155" s="2" t="s">
        <v>6</v>
      </c>
      <c r="Z155" s="2" t="s">
        <v>6</v>
      </c>
      <c r="AA155" s="2" t="s">
        <v>6</v>
      </c>
      <c r="AB155" s="2" t="s">
        <v>6</v>
      </c>
      <c r="AC155" s="2" t="s">
        <v>215</v>
      </c>
      <c r="AD155" s="2" t="s">
        <v>215</v>
      </c>
      <c r="AE155" s="2" t="s">
        <v>215</v>
      </c>
      <c r="AF155" s="2" t="s">
        <v>215</v>
      </c>
      <c r="AG155" s="2" t="s">
        <v>215</v>
      </c>
      <c r="AH155" s="2" t="s">
        <v>215</v>
      </c>
      <c r="AI155" s="2" t="s">
        <v>215</v>
      </c>
      <c r="AJ155" s="2" t="s">
        <v>215</v>
      </c>
      <c r="AK155" s="2" t="s">
        <v>215</v>
      </c>
      <c r="AL155" s="2" t="s">
        <v>215</v>
      </c>
      <c r="AM155" s="2" t="s">
        <v>215</v>
      </c>
      <c r="AN155" s="20"/>
      <c r="AO155" s="12" t="s">
        <v>18</v>
      </c>
    </row>
    <row r="156" spans="1:41">
      <c r="A156" s="1" t="s">
        <v>101</v>
      </c>
      <c r="B156" s="12" t="s">
        <v>231</v>
      </c>
      <c r="C156" s="1" t="s">
        <v>156</v>
      </c>
      <c r="D156" s="1" t="s">
        <v>95</v>
      </c>
      <c r="E156" s="1" t="s">
        <v>170</v>
      </c>
      <c r="F156" s="6">
        <v>45886</v>
      </c>
      <c r="G156" s="1" t="s">
        <v>96</v>
      </c>
      <c r="H156" s="12" t="s">
        <v>18</v>
      </c>
      <c r="I156" s="7" t="s">
        <v>7</v>
      </c>
      <c r="J156" s="2">
        <v>0.39583333333333331</v>
      </c>
      <c r="K156" s="2">
        <v>0.41666666666666669</v>
      </c>
      <c r="L156" s="2">
        <v>0.41666666666666669</v>
      </c>
      <c r="M156" s="2">
        <v>0.42499999999999999</v>
      </c>
      <c r="N156" s="2">
        <v>0.41666666666666669</v>
      </c>
      <c r="O156" s="2">
        <v>0.41666666666666669</v>
      </c>
      <c r="P156" s="2">
        <v>0.41666666666666669</v>
      </c>
      <c r="Q156" s="2">
        <v>0.41666666666666669</v>
      </c>
      <c r="R156" s="2" t="s">
        <v>5</v>
      </c>
      <c r="S156" s="2" t="s">
        <v>215</v>
      </c>
      <c r="T156" s="2" t="s">
        <v>215</v>
      </c>
      <c r="U156" s="2" t="s">
        <v>215</v>
      </c>
      <c r="V156" s="2">
        <v>0.41666666666666669</v>
      </c>
      <c r="W156" s="2">
        <v>0.41666666666666669</v>
      </c>
      <c r="X156" s="2">
        <v>0.41666666666666669</v>
      </c>
      <c r="Y156" s="2">
        <v>0.4375</v>
      </c>
      <c r="Z156" s="2">
        <v>0.41666666666666669</v>
      </c>
      <c r="AA156" s="2">
        <v>0.45833333333333331</v>
      </c>
      <c r="AB156" s="2">
        <v>0.4375</v>
      </c>
      <c r="AC156" s="2" t="s">
        <v>215</v>
      </c>
      <c r="AD156" s="2" t="s">
        <v>215</v>
      </c>
      <c r="AE156" s="2" t="s">
        <v>215</v>
      </c>
      <c r="AF156" s="2" t="s">
        <v>215</v>
      </c>
      <c r="AG156" s="2" t="s">
        <v>215</v>
      </c>
      <c r="AH156" s="2" t="s">
        <v>215</v>
      </c>
      <c r="AI156" s="2" t="s">
        <v>215</v>
      </c>
      <c r="AJ156" s="2" t="s">
        <v>215</v>
      </c>
      <c r="AK156" s="2" t="s">
        <v>215</v>
      </c>
      <c r="AL156" s="2" t="s">
        <v>215</v>
      </c>
      <c r="AM156" s="2" t="s">
        <v>215</v>
      </c>
      <c r="AN156" s="20"/>
      <c r="AO156" s="12"/>
    </row>
    <row r="157" spans="1:41">
      <c r="A157" s="1" t="s">
        <v>101</v>
      </c>
      <c r="B157" s="12" t="s">
        <v>231</v>
      </c>
      <c r="C157" s="1" t="s">
        <v>156</v>
      </c>
      <c r="D157" s="1" t="s">
        <v>95</v>
      </c>
      <c r="E157" s="1" t="s">
        <v>170</v>
      </c>
      <c r="F157" s="6">
        <v>45886</v>
      </c>
      <c r="G157" s="1" t="s">
        <v>96</v>
      </c>
      <c r="H157" s="12" t="s">
        <v>18</v>
      </c>
      <c r="I157" s="7" t="s">
        <v>8</v>
      </c>
      <c r="J157" s="2">
        <v>4.1666666666666664E-2</v>
      </c>
      <c r="K157" s="2">
        <v>0.81944444444444453</v>
      </c>
      <c r="L157" s="2">
        <v>0.85416666666666663</v>
      </c>
      <c r="M157" s="2">
        <v>0.13194444444444445</v>
      </c>
      <c r="N157" s="2">
        <v>1</v>
      </c>
      <c r="O157" s="2">
        <v>0.91666666666666663</v>
      </c>
      <c r="P157" s="2">
        <v>0.83333333333333337</v>
      </c>
      <c r="Q157" s="2">
        <v>0.96875</v>
      </c>
      <c r="R157" s="2" t="s">
        <v>5</v>
      </c>
      <c r="S157" s="2" t="s">
        <v>215</v>
      </c>
      <c r="T157" s="2" t="s">
        <v>215</v>
      </c>
      <c r="U157" s="2" t="s">
        <v>215</v>
      </c>
      <c r="V157" s="2">
        <v>0.89583333333333337</v>
      </c>
      <c r="W157" s="2">
        <v>0.92361111111111116</v>
      </c>
      <c r="X157" s="2">
        <v>0.14583333333333334</v>
      </c>
      <c r="Y157" s="2">
        <v>0.99652777777777779</v>
      </c>
      <c r="Z157" s="2">
        <v>0.84722222222222221</v>
      </c>
      <c r="AA157" s="2">
        <v>0.90277777777777779</v>
      </c>
      <c r="AB157" s="2">
        <v>0.89583333333333337</v>
      </c>
      <c r="AC157" s="2" t="s">
        <v>215</v>
      </c>
      <c r="AD157" s="2" t="s">
        <v>215</v>
      </c>
      <c r="AE157" s="2" t="s">
        <v>215</v>
      </c>
      <c r="AF157" s="2" t="s">
        <v>215</v>
      </c>
      <c r="AG157" s="2" t="s">
        <v>215</v>
      </c>
      <c r="AH157" s="2" t="s">
        <v>215</v>
      </c>
      <c r="AI157" s="2" t="s">
        <v>215</v>
      </c>
      <c r="AJ157" s="2" t="s">
        <v>215</v>
      </c>
      <c r="AK157" s="2" t="s">
        <v>215</v>
      </c>
      <c r="AL157" s="2" t="s">
        <v>215</v>
      </c>
      <c r="AM157" s="2" t="s">
        <v>215</v>
      </c>
      <c r="AN157" s="20"/>
      <c r="AO157" s="12"/>
    </row>
    <row r="158" spans="1:41">
      <c r="A158" s="21" t="s">
        <v>101</v>
      </c>
      <c r="B158" s="21" t="s">
        <v>231</v>
      </c>
      <c r="C158" s="21" t="s">
        <v>156</v>
      </c>
      <c r="D158" s="21" t="s">
        <v>95</v>
      </c>
      <c r="E158" s="21" t="s">
        <v>170</v>
      </c>
      <c r="F158" s="22">
        <v>45886</v>
      </c>
      <c r="G158" s="21" t="s">
        <v>96</v>
      </c>
      <c r="H158" s="21" t="s">
        <v>18</v>
      </c>
      <c r="I158" s="23" t="s">
        <v>9</v>
      </c>
      <c r="J158" s="24">
        <f>IF(AND(ISBLANK(J156),ISBLANK(J157)),"A",IFERROR(+MOD(J157-J156,1),J155))</f>
        <v>0.64583333333333337</v>
      </c>
      <c r="K158" s="24">
        <f t="shared" ref="K158" si="600">IF(AND(ISBLANK(K156),ISBLANK(K157)),"A",IFERROR(+MOD(K157-K156,1),K155))</f>
        <v>0.40277777777777785</v>
      </c>
      <c r="L158" s="24">
        <f t="shared" ref="L158" si="601">IF(AND(ISBLANK(L156),ISBLANK(L157)),"A",IFERROR(+MOD(L157-L156,1),L155))</f>
        <v>0.43749999999999994</v>
      </c>
      <c r="M158" s="24">
        <f t="shared" ref="M158" si="602">IF(AND(ISBLANK(M156),ISBLANK(M157)),"A",IFERROR(+MOD(M157-M156,1),M155))</f>
        <v>0.70694444444444449</v>
      </c>
      <c r="N158" s="24">
        <f t="shared" ref="N158" si="603">IF(AND(ISBLANK(N156),ISBLANK(N157)),"A",IFERROR(+MOD(N157-N156,1),N155))</f>
        <v>0.58333333333333326</v>
      </c>
      <c r="O158" s="24">
        <f t="shared" ref="O158" si="604">IF(AND(ISBLANK(O156),ISBLANK(O157)),"A",IFERROR(+MOD(O157-O156,1),O155))</f>
        <v>0.49999999999999994</v>
      </c>
      <c r="P158" s="24">
        <f t="shared" ref="P158" si="605">IF(AND(ISBLANK(P156),ISBLANK(P157)),"A",IFERROR(+MOD(P157-P156,1),P155))</f>
        <v>0.41666666666666669</v>
      </c>
      <c r="Q158" s="24">
        <f t="shared" ref="Q158" si="606">IF(AND(ISBLANK(Q156),ISBLANK(Q157)),"A",IFERROR(+MOD(Q157-Q156,1),Q155))</f>
        <v>0.55208333333333326</v>
      </c>
      <c r="R158" s="24" t="s">
        <v>5</v>
      </c>
      <c r="S158" s="24" t="s">
        <v>215</v>
      </c>
      <c r="T158" s="24" t="s">
        <v>215</v>
      </c>
      <c r="U158" s="24" t="s">
        <v>215</v>
      </c>
      <c r="V158" s="24">
        <f t="shared" ref="V158" si="607">IF(AND(ISBLANK(V156),ISBLANK(V157)),"A",IFERROR(+MOD(V157-V156,1),V155))</f>
        <v>0.47916666666666669</v>
      </c>
      <c r="W158" s="24">
        <f t="shared" ref="W158:X158" si="608">IF(AND(ISBLANK(W156),ISBLANK(W157)),"A",IFERROR(+MOD(W157-W156,1),W155))</f>
        <v>0.50694444444444442</v>
      </c>
      <c r="X158" s="24">
        <f t="shared" si="608"/>
        <v>0.72916666666666663</v>
      </c>
      <c r="Y158" s="24">
        <f t="shared" ref="Y158" si="609">IF(AND(ISBLANK(Y156),ISBLANK(Y157)),"A",IFERROR(+MOD(Y157-Y156,1),Y155))</f>
        <v>0.55902777777777779</v>
      </c>
      <c r="Z158" s="24">
        <f t="shared" ref="Z158" si="610">IF(AND(ISBLANK(Z156),ISBLANK(Z157)),"A",IFERROR(+MOD(Z157-Z156,1),Z155))</f>
        <v>0.43055555555555552</v>
      </c>
      <c r="AA158" s="24">
        <f t="shared" ref="AA158" si="611">IF(AND(ISBLANK(AA156),ISBLANK(AA157)),"A",IFERROR(+MOD(AA157-AA156,1),AA155))</f>
        <v>0.44444444444444448</v>
      </c>
      <c r="AB158" s="24">
        <f t="shared" ref="AB158" si="612">IF(AND(ISBLANK(AB156),ISBLANK(AB157)),"A",IFERROR(+MOD(AB157-AB156,1),AB155))</f>
        <v>0.45833333333333337</v>
      </c>
      <c r="AC158" s="24" t="s">
        <v>215</v>
      </c>
      <c r="AD158" s="24" t="s">
        <v>215</v>
      </c>
      <c r="AE158" s="24" t="s">
        <v>215</v>
      </c>
      <c r="AF158" s="24" t="s">
        <v>215</v>
      </c>
      <c r="AG158" s="24" t="s">
        <v>215</v>
      </c>
      <c r="AH158" s="24" t="s">
        <v>215</v>
      </c>
      <c r="AI158" s="24" t="s">
        <v>215</v>
      </c>
      <c r="AJ158" s="24" t="s">
        <v>215</v>
      </c>
      <c r="AK158" s="24" t="s">
        <v>215</v>
      </c>
      <c r="AL158" s="24" t="s">
        <v>215</v>
      </c>
      <c r="AM158" s="24" t="s">
        <v>215</v>
      </c>
      <c r="AN158" s="17">
        <f>COUNT(F158:AM158)</f>
        <v>16</v>
      </c>
      <c r="AO158" s="21"/>
    </row>
    <row r="159" spans="1:41">
      <c r="A159" s="8" t="s">
        <v>103</v>
      </c>
      <c r="B159" s="12" t="s">
        <v>235</v>
      </c>
      <c r="C159" s="10" t="s">
        <v>92</v>
      </c>
      <c r="D159" s="10" t="s">
        <v>41</v>
      </c>
      <c r="E159" s="10" t="s">
        <v>172</v>
      </c>
      <c r="F159" s="11">
        <v>45886</v>
      </c>
      <c r="G159" s="12" t="s">
        <v>96</v>
      </c>
      <c r="H159" s="12" t="s">
        <v>18</v>
      </c>
      <c r="I159" s="13" t="s">
        <v>4</v>
      </c>
      <c r="J159" s="2" t="s">
        <v>6</v>
      </c>
      <c r="K159" s="2" t="s">
        <v>5</v>
      </c>
      <c r="L159" s="2" t="s">
        <v>6</v>
      </c>
      <c r="M159" s="2" t="s">
        <v>6</v>
      </c>
      <c r="N159" s="2" t="s">
        <v>6</v>
      </c>
      <c r="O159" s="2" t="s">
        <v>6</v>
      </c>
      <c r="P159" s="2" t="s">
        <v>6</v>
      </c>
      <c r="Q159" s="2" t="s">
        <v>6</v>
      </c>
      <c r="R159" s="2" t="s">
        <v>5</v>
      </c>
      <c r="S159" s="2" t="s">
        <v>5</v>
      </c>
      <c r="T159" s="2" t="s">
        <v>6</v>
      </c>
      <c r="U159" s="2" t="s">
        <v>6</v>
      </c>
      <c r="V159" s="2" t="s">
        <v>6</v>
      </c>
      <c r="W159" s="2" t="s">
        <v>6</v>
      </c>
      <c r="X159" s="2" t="s">
        <v>6</v>
      </c>
      <c r="Y159" s="2" t="s">
        <v>6</v>
      </c>
      <c r="Z159" s="2" t="s">
        <v>6</v>
      </c>
      <c r="AA159" s="2" t="s">
        <v>6</v>
      </c>
      <c r="AB159" s="2" t="s">
        <v>6</v>
      </c>
      <c r="AC159" s="2" t="s">
        <v>6</v>
      </c>
      <c r="AD159" s="2" t="s">
        <v>6</v>
      </c>
      <c r="AE159" s="2" t="s">
        <v>6</v>
      </c>
      <c r="AF159" s="2" t="s">
        <v>5</v>
      </c>
      <c r="AG159" s="2" t="s">
        <v>6</v>
      </c>
      <c r="AH159" s="2" t="s">
        <v>6</v>
      </c>
      <c r="AI159" s="2" t="s">
        <v>6</v>
      </c>
      <c r="AJ159" s="2" t="s">
        <v>6</v>
      </c>
      <c r="AK159" s="2" t="s">
        <v>6</v>
      </c>
      <c r="AL159" s="2" t="s">
        <v>6</v>
      </c>
      <c r="AM159" s="2" t="s">
        <v>5</v>
      </c>
      <c r="AN159" s="20"/>
      <c r="AO159" s="12" t="s">
        <v>18</v>
      </c>
    </row>
    <row r="160" spans="1:41">
      <c r="A160" s="1" t="s">
        <v>103</v>
      </c>
      <c r="B160" s="12" t="s">
        <v>235</v>
      </c>
      <c r="C160" s="1" t="s">
        <v>92</v>
      </c>
      <c r="D160" s="1" t="s">
        <v>41</v>
      </c>
      <c r="E160" s="1" t="s">
        <v>172</v>
      </c>
      <c r="F160" s="6">
        <v>45886</v>
      </c>
      <c r="G160" s="1" t="s">
        <v>96</v>
      </c>
      <c r="H160" s="12" t="s">
        <v>18</v>
      </c>
      <c r="I160" s="7" t="s">
        <v>7</v>
      </c>
      <c r="J160" s="2">
        <v>0.4375</v>
      </c>
      <c r="K160" s="2" t="s">
        <v>5</v>
      </c>
      <c r="L160" s="2">
        <v>0.41666666666666669</v>
      </c>
      <c r="M160" s="2">
        <v>0.41666666666666669</v>
      </c>
      <c r="N160" s="2">
        <v>0.41666666666666669</v>
      </c>
      <c r="O160" s="2">
        <v>0.41666666666666669</v>
      </c>
      <c r="P160" s="2">
        <v>0.45833333333333331</v>
      </c>
      <c r="Q160" s="2">
        <v>0.41666666666666669</v>
      </c>
      <c r="R160" s="2" t="s">
        <v>5</v>
      </c>
      <c r="S160" s="2" t="s">
        <v>5</v>
      </c>
      <c r="T160" s="2">
        <v>0.4375</v>
      </c>
      <c r="U160" s="2">
        <v>0.41666666666666669</v>
      </c>
      <c r="V160" s="2">
        <v>0.41666666666666669</v>
      </c>
      <c r="W160" s="2">
        <v>0.41666666666666669</v>
      </c>
      <c r="X160" s="2">
        <v>0.41666666666666669</v>
      </c>
      <c r="Y160" s="2">
        <v>0.41666666666666669</v>
      </c>
      <c r="Z160" s="2">
        <v>0.41666666666666669</v>
      </c>
      <c r="AA160" s="2">
        <v>0.4513888888888889</v>
      </c>
      <c r="AB160" s="2">
        <v>0.41666666666666669</v>
      </c>
      <c r="AC160" s="2">
        <v>0.4548611111111111</v>
      </c>
      <c r="AD160" s="2">
        <v>0.41666666666666669</v>
      </c>
      <c r="AE160" s="2">
        <v>0.41666666666666669</v>
      </c>
      <c r="AF160" s="2" t="s">
        <v>5</v>
      </c>
      <c r="AG160" s="2">
        <v>0.44791666666666669</v>
      </c>
      <c r="AH160" s="2">
        <v>0.45833333333333331</v>
      </c>
      <c r="AI160" s="2">
        <v>0.41666666666666669</v>
      </c>
      <c r="AJ160" s="2">
        <v>0.45833333333333331</v>
      </c>
      <c r="AK160" s="2">
        <v>0.41666666666666669</v>
      </c>
      <c r="AL160" s="2">
        <v>0.45833333333333331</v>
      </c>
      <c r="AM160" s="2" t="s">
        <v>5</v>
      </c>
      <c r="AN160" s="20"/>
      <c r="AO160" s="12"/>
    </row>
    <row r="161" spans="1:41">
      <c r="A161" s="1" t="s">
        <v>103</v>
      </c>
      <c r="B161" s="12" t="s">
        <v>235</v>
      </c>
      <c r="C161" s="1" t="s">
        <v>92</v>
      </c>
      <c r="D161" s="1" t="s">
        <v>41</v>
      </c>
      <c r="E161" s="1" t="s">
        <v>172</v>
      </c>
      <c r="F161" s="6">
        <v>45886</v>
      </c>
      <c r="G161" s="1" t="s">
        <v>96</v>
      </c>
      <c r="H161" s="12" t="s">
        <v>18</v>
      </c>
      <c r="I161" s="7" t="s">
        <v>8</v>
      </c>
      <c r="J161" s="2">
        <v>4.1666666666666664E-2</v>
      </c>
      <c r="K161" s="2" t="s">
        <v>5</v>
      </c>
      <c r="L161" s="2">
        <v>0.91666666666666663</v>
      </c>
      <c r="M161" s="2">
        <v>4.1666666666666664E-2</v>
      </c>
      <c r="N161" s="2">
        <v>0.95833333333333337</v>
      </c>
      <c r="O161" s="2">
        <v>0.125</v>
      </c>
      <c r="P161" s="2">
        <v>0.91666666666666663</v>
      </c>
      <c r="Q161" s="2">
        <v>0.17708333333333334</v>
      </c>
      <c r="R161" s="2" t="s">
        <v>5</v>
      </c>
      <c r="S161" s="2" t="s">
        <v>5</v>
      </c>
      <c r="T161" s="2">
        <v>0.95833333333333337</v>
      </c>
      <c r="U161" s="2">
        <v>0.95833333333333337</v>
      </c>
      <c r="V161" s="2">
        <v>0.91666666666666663</v>
      </c>
      <c r="W161" s="2">
        <v>1</v>
      </c>
      <c r="X161" s="2">
        <v>0.125</v>
      </c>
      <c r="Y161" s="2">
        <v>0.98125000000000007</v>
      </c>
      <c r="Z161" s="2">
        <v>1.0208333333333333</v>
      </c>
      <c r="AA161" s="2">
        <v>0.9375</v>
      </c>
      <c r="AB161" s="2">
        <v>0.10416666666666667</v>
      </c>
      <c r="AC161" s="2">
        <v>1.0069444444444444</v>
      </c>
      <c r="AD161" s="2">
        <v>1.0208333333333333</v>
      </c>
      <c r="AE161" s="2">
        <v>4.1666666666666664E-2</v>
      </c>
      <c r="AF161" s="2" t="s">
        <v>5</v>
      </c>
      <c r="AG161" s="2">
        <v>4.5138888888888888E-2</v>
      </c>
      <c r="AH161" s="2">
        <v>6.25E-2</v>
      </c>
      <c r="AI161" s="2">
        <v>1.0006944444444443</v>
      </c>
      <c r="AJ161" s="2">
        <v>0.125</v>
      </c>
      <c r="AK161" s="2">
        <v>9.0277777777777776E-2</v>
      </c>
      <c r="AL161" s="2">
        <v>0.98611111111111116</v>
      </c>
      <c r="AM161" s="2" t="s">
        <v>5</v>
      </c>
      <c r="AN161" s="20"/>
      <c r="AO161" s="12"/>
    </row>
    <row r="162" spans="1:41">
      <c r="A162" s="21" t="s">
        <v>103</v>
      </c>
      <c r="B162" s="21" t="s">
        <v>235</v>
      </c>
      <c r="C162" s="21" t="s">
        <v>92</v>
      </c>
      <c r="D162" s="21" t="s">
        <v>41</v>
      </c>
      <c r="E162" s="21" t="s">
        <v>172</v>
      </c>
      <c r="F162" s="22">
        <v>45886</v>
      </c>
      <c r="G162" s="21" t="s">
        <v>96</v>
      </c>
      <c r="H162" s="21" t="s">
        <v>18</v>
      </c>
      <c r="I162" s="23" t="s">
        <v>9</v>
      </c>
      <c r="J162" s="24">
        <f>IF(AND(ISBLANK(J160),ISBLANK(J161)),"A",IFERROR(+MOD(J161-J160,1),J159))</f>
        <v>0.60416666666666674</v>
      </c>
      <c r="K162" s="24" t="s">
        <v>5</v>
      </c>
      <c r="L162" s="24">
        <f t="shared" ref="L162" si="613">IF(AND(ISBLANK(L160),ISBLANK(L161)),"A",IFERROR(+MOD(L161-L160,1),L159))</f>
        <v>0.49999999999999994</v>
      </c>
      <c r="M162" s="24">
        <f t="shared" ref="M162" si="614">IF(AND(ISBLANK(M160),ISBLANK(M161)),"A",IFERROR(+MOD(M161-M160,1),M159))</f>
        <v>0.625</v>
      </c>
      <c r="N162" s="24">
        <f t="shared" ref="N162" si="615">IF(AND(ISBLANK(N160),ISBLANK(N161)),"A",IFERROR(+MOD(N161-N160,1),N159))</f>
        <v>0.54166666666666674</v>
      </c>
      <c r="O162" s="24">
        <f t="shared" ref="O162" si="616">IF(AND(ISBLANK(O160),ISBLANK(O161)),"A",IFERROR(+MOD(O161-O160,1),O159))</f>
        <v>0.70833333333333326</v>
      </c>
      <c r="P162" s="24">
        <f t="shared" ref="P162" si="617">IF(AND(ISBLANK(P160),ISBLANK(P161)),"A",IFERROR(+MOD(P161-P160,1),P159))</f>
        <v>0.45833333333333331</v>
      </c>
      <c r="Q162" s="24">
        <f t="shared" ref="Q162" si="618">IF(AND(ISBLANK(Q160),ISBLANK(Q161)),"A",IFERROR(+MOD(Q161-Q160,1),Q159))</f>
        <v>0.76041666666666663</v>
      </c>
      <c r="R162" s="24" t="s">
        <v>5</v>
      </c>
      <c r="S162" s="24" t="s">
        <v>5</v>
      </c>
      <c r="T162" s="24">
        <f t="shared" ref="T162" si="619">IF(AND(ISBLANK(T160),ISBLANK(T161)),"A",IFERROR(+MOD(T161-T160,1),T159))</f>
        <v>0.52083333333333337</v>
      </c>
      <c r="U162" s="24">
        <f t="shared" ref="U162" si="620">IF(AND(ISBLANK(U160),ISBLANK(U161)),"A",IFERROR(+MOD(U161-U160,1),U159))</f>
        <v>0.54166666666666674</v>
      </c>
      <c r="V162" s="24">
        <f t="shared" ref="V162" si="621">IF(AND(ISBLANK(V160),ISBLANK(V161)),"A",IFERROR(+MOD(V161-V160,1),V159))</f>
        <v>0.49999999999999994</v>
      </c>
      <c r="W162" s="24">
        <f t="shared" ref="W162" si="622">IF(AND(ISBLANK(W160),ISBLANK(W161)),"A",IFERROR(+MOD(W161-W160,1),W159))</f>
        <v>0.58333333333333326</v>
      </c>
      <c r="X162" s="24">
        <f t="shared" ref="X162" si="623">IF(AND(ISBLANK(X160),ISBLANK(X161)),"A",IFERROR(+MOD(X161-X160,1),X159))</f>
        <v>0.70833333333333326</v>
      </c>
      <c r="Y162" s="24">
        <f t="shared" ref="Y162" si="624">IF(AND(ISBLANK(Y160),ISBLANK(Y161)),"A",IFERROR(+MOD(Y161-Y160,1),Y159))</f>
        <v>0.56458333333333344</v>
      </c>
      <c r="Z162" s="24">
        <f t="shared" ref="Z162" si="625">IF(AND(ISBLANK(Z160),ISBLANK(Z161)),"A",IFERROR(+MOD(Z161-Z160,1),Z159))</f>
        <v>0.60416666666666652</v>
      </c>
      <c r="AA162" s="24">
        <f t="shared" ref="AA162" si="626">IF(AND(ISBLANK(AA160),ISBLANK(AA161)),"A",IFERROR(+MOD(AA161-AA160,1),AA159))</f>
        <v>0.4861111111111111</v>
      </c>
      <c r="AB162" s="24">
        <f t="shared" ref="AB162" si="627">IF(AND(ISBLANK(AB160),ISBLANK(AB161)),"A",IFERROR(+MOD(AB161-AB160,1),AB159))</f>
        <v>0.6875</v>
      </c>
      <c r="AC162" s="24">
        <f t="shared" ref="AC162" si="628">IF(AND(ISBLANK(AC160),ISBLANK(AC161)),"A",IFERROR(+MOD(AC161-AC160,1),AC159))</f>
        <v>0.55208333333333326</v>
      </c>
      <c r="AD162" s="24">
        <f t="shared" ref="AD162" si="629">IF(AND(ISBLANK(AD160),ISBLANK(AD161)),"A",IFERROR(+MOD(AD161-AD160,1),AD159))</f>
        <v>0.60416666666666652</v>
      </c>
      <c r="AE162" s="24">
        <f t="shared" ref="AE162" si="630">IF(AND(ISBLANK(AE160),ISBLANK(AE161)),"A",IFERROR(+MOD(AE161-AE160,1),AE159))</f>
        <v>0.625</v>
      </c>
      <c r="AF162" s="24" t="s">
        <v>5</v>
      </c>
      <c r="AG162" s="24">
        <f t="shared" ref="AG162:AH162" si="631">IF(AND(ISBLANK(AG160),ISBLANK(AG161)),"A",IFERROR(+MOD(AG161-AG160,1),AG159))</f>
        <v>0.59722222222222221</v>
      </c>
      <c r="AH162" s="24">
        <f t="shared" si="631"/>
        <v>0.60416666666666674</v>
      </c>
      <c r="AI162" s="24">
        <f t="shared" ref="AI162" si="632">IF(AND(ISBLANK(AI160),ISBLANK(AI161)),"A",IFERROR(+MOD(AI161-AI160,1),AI159))</f>
        <v>0.58402777777777759</v>
      </c>
      <c r="AJ162" s="24">
        <f t="shared" ref="AJ162:AK162" si="633">IF(AND(ISBLANK(AJ160),ISBLANK(AJ161)),"A",IFERROR(+MOD(AJ161-AJ160,1),AJ159))</f>
        <v>0.66666666666666674</v>
      </c>
      <c r="AK162" s="24">
        <f t="shared" si="633"/>
        <v>0.67361111111111116</v>
      </c>
      <c r="AL162" s="24">
        <f t="shared" ref="AL162" si="634">IF(AND(ISBLANK(AL160),ISBLANK(AL161)),"A",IFERROR(+MOD(AL161-AL160,1),AL159))</f>
        <v>0.5277777777777779</v>
      </c>
      <c r="AM162" s="24" t="s">
        <v>5</v>
      </c>
      <c r="AN162" s="17">
        <f>COUNT(F162:AM162)</f>
        <v>26</v>
      </c>
      <c r="AO162" s="21"/>
    </row>
    <row r="163" spans="1:41">
      <c r="A163" s="8" t="s">
        <v>106</v>
      </c>
      <c r="B163" s="12" t="s">
        <v>232</v>
      </c>
      <c r="C163" s="10" t="s">
        <v>176</v>
      </c>
      <c r="D163" s="10" t="s">
        <v>41</v>
      </c>
      <c r="E163" s="10" t="s">
        <v>174</v>
      </c>
      <c r="F163" s="11">
        <v>45885</v>
      </c>
      <c r="G163" s="12" t="s">
        <v>96</v>
      </c>
      <c r="H163" s="12" t="s">
        <v>18</v>
      </c>
      <c r="I163" s="13" t="s">
        <v>4</v>
      </c>
      <c r="J163" s="2" t="s">
        <v>6</v>
      </c>
      <c r="K163" s="2" t="s">
        <v>6</v>
      </c>
      <c r="L163" s="2" t="s">
        <v>6</v>
      </c>
      <c r="M163" s="2" t="s">
        <v>6</v>
      </c>
      <c r="N163" s="2" t="s">
        <v>6</v>
      </c>
      <c r="O163" s="2" t="s">
        <v>6</v>
      </c>
      <c r="P163" s="2" t="s">
        <v>6</v>
      </c>
      <c r="Q163" s="2" t="s">
        <v>5</v>
      </c>
      <c r="R163" s="2" t="s">
        <v>6</v>
      </c>
      <c r="S163" s="2" t="s">
        <v>6</v>
      </c>
      <c r="T163" s="2" t="s">
        <v>6</v>
      </c>
      <c r="U163" s="2" t="s">
        <v>6</v>
      </c>
      <c r="V163" s="2" t="s">
        <v>6</v>
      </c>
      <c r="W163" s="2" t="s">
        <v>6</v>
      </c>
      <c r="X163" s="2" t="s">
        <v>6</v>
      </c>
      <c r="Y163" s="2" t="s">
        <v>5</v>
      </c>
      <c r="Z163" s="2" t="s">
        <v>6</v>
      </c>
      <c r="AA163" s="2" t="s">
        <v>6</v>
      </c>
      <c r="AB163" s="2" t="s">
        <v>6</v>
      </c>
      <c r="AC163" s="2" t="s">
        <v>6</v>
      </c>
      <c r="AD163" s="2" t="s">
        <v>6</v>
      </c>
      <c r="AE163" s="2" t="s">
        <v>6</v>
      </c>
      <c r="AF163" s="2" t="s">
        <v>5</v>
      </c>
      <c r="AG163" s="2" t="s">
        <v>6</v>
      </c>
      <c r="AH163" s="2" t="s">
        <v>6</v>
      </c>
      <c r="AI163" s="2" t="s">
        <v>5</v>
      </c>
      <c r="AJ163" s="2" t="s">
        <v>6</v>
      </c>
      <c r="AK163" s="2" t="s">
        <v>6</v>
      </c>
      <c r="AL163" s="2" t="s">
        <v>6</v>
      </c>
      <c r="AM163" s="2" t="s">
        <v>6</v>
      </c>
      <c r="AN163" s="20"/>
      <c r="AO163" s="12" t="s">
        <v>18</v>
      </c>
    </row>
    <row r="164" spans="1:41">
      <c r="A164" s="1" t="s">
        <v>106</v>
      </c>
      <c r="B164" s="12" t="s">
        <v>232</v>
      </c>
      <c r="C164" s="1" t="s">
        <v>176</v>
      </c>
      <c r="D164" s="1" t="s">
        <v>41</v>
      </c>
      <c r="E164" s="1" t="s">
        <v>174</v>
      </c>
      <c r="F164" s="6">
        <v>45885</v>
      </c>
      <c r="G164" s="1" t="s">
        <v>96</v>
      </c>
      <c r="H164" s="12" t="s">
        <v>18</v>
      </c>
      <c r="I164" s="7" t="s">
        <v>7</v>
      </c>
      <c r="J164" s="2">
        <v>0.375</v>
      </c>
      <c r="K164" s="2">
        <v>0.375</v>
      </c>
      <c r="L164" s="2">
        <v>0.41666666666666669</v>
      </c>
      <c r="M164" s="2">
        <v>0.375</v>
      </c>
      <c r="N164" s="2">
        <v>0.41666666666666669</v>
      </c>
      <c r="O164" s="2">
        <v>0.41666666666666669</v>
      </c>
      <c r="P164" s="2">
        <v>0.41666666666666669</v>
      </c>
      <c r="Q164" s="2" t="s">
        <v>5</v>
      </c>
      <c r="R164" s="2">
        <v>0.375</v>
      </c>
      <c r="S164" s="2">
        <v>0.5</v>
      </c>
      <c r="T164" s="2">
        <v>0.375</v>
      </c>
      <c r="U164" s="2">
        <v>0.4375</v>
      </c>
      <c r="V164" s="2">
        <v>0.36805555555555558</v>
      </c>
      <c r="W164" s="2">
        <v>0.375</v>
      </c>
      <c r="X164" s="2">
        <v>0.375</v>
      </c>
      <c r="Y164" s="2" t="s">
        <v>5</v>
      </c>
      <c r="Z164" s="2">
        <v>0.3923611111111111</v>
      </c>
      <c r="AA164" s="2">
        <v>0.4513888888888889</v>
      </c>
      <c r="AB164" s="2">
        <v>0.375</v>
      </c>
      <c r="AC164" s="2">
        <v>0.4548611111111111</v>
      </c>
      <c r="AD164" s="2">
        <v>0.375</v>
      </c>
      <c r="AE164" s="2">
        <v>0.41666666666666669</v>
      </c>
      <c r="AF164" s="2" t="s">
        <v>5</v>
      </c>
      <c r="AG164" s="2">
        <v>0.44791666666666669</v>
      </c>
      <c r="AH164" s="2">
        <v>0.375</v>
      </c>
      <c r="AI164" s="2" t="s">
        <v>5</v>
      </c>
      <c r="AJ164" s="2">
        <v>0.59375</v>
      </c>
      <c r="AK164" s="2">
        <v>0.39583333333333331</v>
      </c>
      <c r="AL164" s="2">
        <v>0.70833333333333337</v>
      </c>
      <c r="AM164" s="2">
        <v>0.40625</v>
      </c>
      <c r="AN164" s="20"/>
      <c r="AO164" s="12"/>
    </row>
    <row r="165" spans="1:41">
      <c r="A165" s="1" t="s">
        <v>106</v>
      </c>
      <c r="B165" s="12" t="s">
        <v>232</v>
      </c>
      <c r="C165" s="1" t="s">
        <v>176</v>
      </c>
      <c r="D165" s="1" t="s">
        <v>41</v>
      </c>
      <c r="E165" s="1" t="s">
        <v>174</v>
      </c>
      <c r="F165" s="6">
        <v>45885</v>
      </c>
      <c r="G165" s="1" t="s">
        <v>96</v>
      </c>
      <c r="H165" s="12" t="s">
        <v>18</v>
      </c>
      <c r="I165" s="7" t="s">
        <v>8</v>
      </c>
      <c r="J165" s="2">
        <v>0.875</v>
      </c>
      <c r="K165" s="2">
        <v>0.79166666666666663</v>
      </c>
      <c r="L165" s="2">
        <v>0.83333333333333337</v>
      </c>
      <c r="M165" s="2">
        <v>1</v>
      </c>
      <c r="N165" s="2">
        <v>0.95833333333333337</v>
      </c>
      <c r="O165" s="2">
        <v>0.85416666666666663</v>
      </c>
      <c r="P165" s="2">
        <v>0.8125</v>
      </c>
      <c r="Q165" s="2" t="s">
        <v>5</v>
      </c>
      <c r="R165" s="2">
        <v>0.79166666666666663</v>
      </c>
      <c r="S165" s="2">
        <v>0.875</v>
      </c>
      <c r="T165" s="2">
        <v>0.84166666666666667</v>
      </c>
      <c r="U165" s="2">
        <v>0.84097222222222223</v>
      </c>
      <c r="V165" s="2">
        <v>0.75</v>
      </c>
      <c r="W165" s="2">
        <v>0.86111111111111116</v>
      </c>
      <c r="X165" s="2">
        <v>0.875</v>
      </c>
      <c r="Y165" s="2" t="s">
        <v>5</v>
      </c>
      <c r="Z165" s="2">
        <v>1.0243055555555556</v>
      </c>
      <c r="AA165" s="2">
        <v>0.85069444444444453</v>
      </c>
      <c r="AB165" s="2">
        <v>0.84375</v>
      </c>
      <c r="AC165" s="2">
        <v>0.85763888888888884</v>
      </c>
      <c r="AD165" s="2">
        <v>0.88194444444444453</v>
      </c>
      <c r="AE165" s="2">
        <v>4.1666666666666664E-2</v>
      </c>
      <c r="AF165" s="2" t="s">
        <v>5</v>
      </c>
      <c r="AG165" s="2">
        <v>0.95833333333333337</v>
      </c>
      <c r="AH165" s="2">
        <v>0.8125</v>
      </c>
      <c r="AI165" s="2" t="s">
        <v>5</v>
      </c>
      <c r="AJ165" s="2">
        <v>0.96875</v>
      </c>
      <c r="AK165" s="2">
        <v>0.14722222222222223</v>
      </c>
      <c r="AL165" s="2">
        <v>0.95833333333333337</v>
      </c>
      <c r="AM165" s="2">
        <v>0.54166666666666663</v>
      </c>
      <c r="AN165" s="20"/>
      <c r="AO165" s="12"/>
    </row>
    <row r="166" spans="1:41">
      <c r="A166" s="21" t="s">
        <v>106</v>
      </c>
      <c r="B166" s="21" t="s">
        <v>232</v>
      </c>
      <c r="C166" s="21" t="s">
        <v>176</v>
      </c>
      <c r="D166" s="21" t="s">
        <v>41</v>
      </c>
      <c r="E166" s="21" t="s">
        <v>174</v>
      </c>
      <c r="F166" s="22">
        <v>45885</v>
      </c>
      <c r="G166" s="21" t="s">
        <v>96</v>
      </c>
      <c r="H166" s="21" t="s">
        <v>18</v>
      </c>
      <c r="I166" s="23" t="s">
        <v>9</v>
      </c>
      <c r="J166" s="24">
        <f>IF(AND(ISBLANK(J164),ISBLANK(J165)),"A",IFERROR(+MOD(J165-J164,1),J163))</f>
        <v>0.5</v>
      </c>
      <c r="K166" s="24">
        <f t="shared" ref="K166" si="635">IF(AND(ISBLANK(K164),ISBLANK(K165)),"A",IFERROR(+MOD(K165-K164,1),K163))</f>
        <v>0.41666666666666663</v>
      </c>
      <c r="L166" s="24">
        <f t="shared" ref="L166" si="636">IF(AND(ISBLANK(L164),ISBLANK(L165)),"A",IFERROR(+MOD(L165-L164,1),L163))</f>
        <v>0.41666666666666669</v>
      </c>
      <c r="M166" s="24">
        <f t="shared" ref="M166" si="637">IF(AND(ISBLANK(M164),ISBLANK(M165)),"A",IFERROR(+MOD(M165-M164,1),M163))</f>
        <v>0.625</v>
      </c>
      <c r="N166" s="24">
        <f t="shared" ref="N166" si="638">IF(AND(ISBLANK(N164),ISBLANK(N165)),"A",IFERROR(+MOD(N165-N164,1),N163))</f>
        <v>0.54166666666666674</v>
      </c>
      <c r="O166" s="24">
        <f t="shared" ref="O166" si="639">IF(AND(ISBLANK(O164),ISBLANK(O165)),"A",IFERROR(+MOD(O165-O164,1),O163))</f>
        <v>0.43749999999999994</v>
      </c>
      <c r="P166" s="24">
        <f t="shared" ref="P166:R166" si="640">IF(AND(ISBLANK(P164),ISBLANK(P165)),"A",IFERROR(+MOD(P165-P164,1),P163))</f>
        <v>0.39583333333333331</v>
      </c>
      <c r="Q166" s="24" t="s">
        <v>5</v>
      </c>
      <c r="R166" s="24">
        <f t="shared" si="640"/>
        <v>0.41666666666666663</v>
      </c>
      <c r="S166" s="24">
        <f t="shared" ref="S166" si="641">IF(AND(ISBLANK(S164),ISBLANK(S165)),"A",IFERROR(+MOD(S165-S164,1),S163))</f>
        <v>0.375</v>
      </c>
      <c r="T166" s="24">
        <f t="shared" ref="T166" si="642">IF(AND(ISBLANK(T164),ISBLANK(T165)),"A",IFERROR(+MOD(T165-T164,1),T163))</f>
        <v>0.46666666666666667</v>
      </c>
      <c r="U166" s="24">
        <f t="shared" ref="U166" si="643">IF(AND(ISBLANK(U164),ISBLANK(U165)),"A",IFERROR(+MOD(U165-U164,1),U163))</f>
        <v>0.40347222222222223</v>
      </c>
      <c r="V166" s="24">
        <f t="shared" ref="V166:W166" si="644">IF(AND(ISBLANK(V164),ISBLANK(V165)),"A",IFERROR(+MOD(V165-V164,1),V163))</f>
        <v>0.38194444444444442</v>
      </c>
      <c r="W166" s="24">
        <f t="shared" si="644"/>
        <v>0.48611111111111116</v>
      </c>
      <c r="X166" s="24">
        <f t="shared" ref="X166" si="645">IF(AND(ISBLANK(X164),ISBLANK(X165)),"A",IFERROR(+MOD(X165-X164,1),X163))</f>
        <v>0.5</v>
      </c>
      <c r="Y166" s="24" t="s">
        <v>5</v>
      </c>
      <c r="Z166" s="24">
        <f t="shared" ref="Z166" si="646">IF(AND(ISBLANK(Z164),ISBLANK(Z165)),"A",IFERROR(+MOD(Z165-Z164,1),Z163))</f>
        <v>0.63194444444444442</v>
      </c>
      <c r="AA166" s="24">
        <f t="shared" ref="AA166" si="647">IF(AND(ISBLANK(AA164),ISBLANK(AA165)),"A",IFERROR(+MOD(AA165-AA164,1),AA163))</f>
        <v>0.39930555555555564</v>
      </c>
      <c r="AB166" s="24">
        <f t="shared" ref="AB166" si="648">IF(AND(ISBLANK(AB164),ISBLANK(AB165)),"A",IFERROR(+MOD(AB165-AB164,1),AB163))</f>
        <v>0.46875</v>
      </c>
      <c r="AC166" s="24">
        <f t="shared" ref="AC166" si="649">IF(AND(ISBLANK(AC164),ISBLANK(AC165)),"A",IFERROR(+MOD(AC165-AC164,1),AC163))</f>
        <v>0.40277777777777773</v>
      </c>
      <c r="AD166" s="24">
        <f t="shared" ref="AD166" si="650">IF(AND(ISBLANK(AD164),ISBLANK(AD165)),"A",IFERROR(+MOD(AD165-AD164,1),AD163))</f>
        <v>0.50694444444444453</v>
      </c>
      <c r="AE166" s="24">
        <f t="shared" ref="AE166" si="651">IF(AND(ISBLANK(AE164),ISBLANK(AE165)),"A",IFERROR(+MOD(AE165-AE164,1),AE163))</f>
        <v>0.625</v>
      </c>
      <c r="AF166" s="24" t="s">
        <v>5</v>
      </c>
      <c r="AG166" s="24">
        <f t="shared" ref="AG166" si="652">IF(AND(ISBLANK(AG164),ISBLANK(AG165)),"A",IFERROR(+MOD(AG165-AG164,1),AG163))</f>
        <v>0.51041666666666674</v>
      </c>
      <c r="AH166" s="24">
        <f t="shared" ref="AH166" si="653">IF(AND(ISBLANK(AH164),ISBLANK(AH165)),"A",IFERROR(+MOD(AH165-AH164,1),AH163))</f>
        <v>0.4375</v>
      </c>
      <c r="AI166" s="24" t="s">
        <v>5</v>
      </c>
      <c r="AJ166" s="24">
        <f t="shared" ref="AJ166" si="654">IF(AND(ISBLANK(AJ164),ISBLANK(AJ165)),"A",IFERROR(+MOD(AJ165-AJ164,1),AJ163))</f>
        <v>0.375</v>
      </c>
      <c r="AK166" s="24">
        <f t="shared" ref="AK166:AL166" si="655">IF(AND(ISBLANK(AK164),ISBLANK(AK165)),"A",IFERROR(+MOD(AK165-AK164,1),AK163))</f>
        <v>0.75138888888888888</v>
      </c>
      <c r="AL166" s="24">
        <f t="shared" si="655"/>
        <v>0.25</v>
      </c>
      <c r="AM166" s="24">
        <f t="shared" ref="AM166" si="656">IF(AND(ISBLANK(AM164),ISBLANK(AM165)),"A",IFERROR(+MOD(AM165-AM164,1),AM163))</f>
        <v>0.13541666666666663</v>
      </c>
      <c r="AN166" s="17">
        <f>COUNT(F166:AM166)</f>
        <v>27</v>
      </c>
      <c r="AO166" s="21"/>
    </row>
    <row r="167" spans="1:41">
      <c r="A167" s="8" t="s">
        <v>100</v>
      </c>
      <c r="B167" s="12" t="s">
        <v>231</v>
      </c>
      <c r="C167" s="10" t="s">
        <v>28</v>
      </c>
      <c r="D167" s="10" t="s">
        <v>158</v>
      </c>
      <c r="E167" s="10" t="s">
        <v>169</v>
      </c>
      <c r="F167" s="11">
        <v>45885</v>
      </c>
      <c r="G167" s="12" t="s">
        <v>96</v>
      </c>
      <c r="H167" s="12" t="s">
        <v>18</v>
      </c>
      <c r="I167" s="13" t="s">
        <v>4</v>
      </c>
      <c r="J167" s="2" t="s">
        <v>5</v>
      </c>
      <c r="K167" s="2" t="s">
        <v>5</v>
      </c>
      <c r="L167" s="2" t="s">
        <v>5</v>
      </c>
      <c r="M167" s="2" t="s">
        <v>6</v>
      </c>
      <c r="N167" s="2" t="s">
        <v>6</v>
      </c>
      <c r="O167" s="2" t="s">
        <v>6</v>
      </c>
      <c r="P167" s="2" t="s">
        <v>6</v>
      </c>
      <c r="Q167" s="2" t="s">
        <v>6</v>
      </c>
      <c r="R167" s="2" t="s">
        <v>5</v>
      </c>
      <c r="S167" s="2" t="s">
        <v>6</v>
      </c>
      <c r="T167" s="2" t="s">
        <v>6</v>
      </c>
      <c r="U167" s="2" t="s">
        <v>6</v>
      </c>
      <c r="V167" s="2" t="s">
        <v>6</v>
      </c>
      <c r="W167" s="2" t="s">
        <v>6</v>
      </c>
      <c r="X167" s="2" t="s">
        <v>6</v>
      </c>
      <c r="Y167" s="2" t="s">
        <v>5</v>
      </c>
      <c r="Z167" s="2" t="s">
        <v>6</v>
      </c>
      <c r="AA167" s="2" t="s">
        <v>6</v>
      </c>
      <c r="AB167" s="2" t="s">
        <v>6</v>
      </c>
      <c r="AC167" s="2" t="s">
        <v>6</v>
      </c>
      <c r="AD167" s="2" t="s">
        <v>6</v>
      </c>
      <c r="AE167" s="2" t="s">
        <v>6</v>
      </c>
      <c r="AF167" s="2" t="s">
        <v>5</v>
      </c>
      <c r="AG167" s="2" t="s">
        <v>6</v>
      </c>
      <c r="AH167" s="2" t="s">
        <v>6</v>
      </c>
      <c r="AI167" s="2" t="s">
        <v>6</v>
      </c>
      <c r="AJ167" s="2" t="s">
        <v>6</v>
      </c>
      <c r="AK167" s="2" t="s">
        <v>6</v>
      </c>
      <c r="AL167" s="2" t="s">
        <v>6</v>
      </c>
      <c r="AM167" s="2" t="s">
        <v>6</v>
      </c>
      <c r="AN167" s="20"/>
      <c r="AO167" s="12" t="s">
        <v>18</v>
      </c>
    </row>
    <row r="168" spans="1:41">
      <c r="A168" s="1" t="s">
        <v>100</v>
      </c>
      <c r="B168" s="12" t="s">
        <v>231</v>
      </c>
      <c r="C168" s="1" t="s">
        <v>28</v>
      </c>
      <c r="D168" s="1" t="s">
        <v>158</v>
      </c>
      <c r="E168" s="1" t="s">
        <v>169</v>
      </c>
      <c r="F168" s="6">
        <v>45885</v>
      </c>
      <c r="G168" s="1" t="s">
        <v>96</v>
      </c>
      <c r="H168" s="12" t="s">
        <v>18</v>
      </c>
      <c r="I168" s="7" t="s">
        <v>7</v>
      </c>
      <c r="J168" s="2" t="s">
        <v>5</v>
      </c>
      <c r="K168" s="2" t="s">
        <v>5</v>
      </c>
      <c r="L168" s="2" t="s">
        <v>5</v>
      </c>
      <c r="M168" s="2">
        <v>0.375</v>
      </c>
      <c r="N168" s="2">
        <v>0.41666666666666669</v>
      </c>
      <c r="O168" s="2">
        <v>0.4513888888888889</v>
      </c>
      <c r="P168" s="2">
        <v>0.41666666666666669</v>
      </c>
      <c r="Q168" s="2">
        <v>0.3888888888888889</v>
      </c>
      <c r="R168" s="2" t="s">
        <v>5</v>
      </c>
      <c r="S168" s="2">
        <v>0.38194444444444442</v>
      </c>
      <c r="T168" s="2">
        <v>0.38194444444444442</v>
      </c>
      <c r="U168" s="2">
        <v>0.39583333333333331</v>
      </c>
      <c r="V168" s="2">
        <v>0.41666666666666669</v>
      </c>
      <c r="W168" s="2">
        <v>0.38541666666666669</v>
      </c>
      <c r="X168" s="2">
        <v>0.39583333333333331</v>
      </c>
      <c r="Y168" s="2" t="s">
        <v>5</v>
      </c>
      <c r="Z168" s="2">
        <v>0.39583333333333331</v>
      </c>
      <c r="AA168" s="2">
        <v>0.3888888888888889</v>
      </c>
      <c r="AB168" s="2">
        <v>0.375</v>
      </c>
      <c r="AC168" s="2">
        <v>0.39583333333333331</v>
      </c>
      <c r="AD168" s="2">
        <v>0.375</v>
      </c>
      <c r="AE168" s="2">
        <v>0.41666666666666669</v>
      </c>
      <c r="AF168" s="2" t="s">
        <v>5</v>
      </c>
      <c r="AG168" s="2">
        <v>0.3888888888888889</v>
      </c>
      <c r="AH168" s="2">
        <v>0.4201388888888889</v>
      </c>
      <c r="AI168" s="2">
        <v>0.41666666666666669</v>
      </c>
      <c r="AJ168" s="2">
        <v>0.4513888888888889</v>
      </c>
      <c r="AK168" s="2">
        <v>0.5</v>
      </c>
      <c r="AL168" s="2">
        <v>0.4236111111111111</v>
      </c>
      <c r="AM168" s="2">
        <v>0.52916666666666667</v>
      </c>
      <c r="AN168" s="20"/>
      <c r="AO168" s="12"/>
    </row>
    <row r="169" spans="1:41">
      <c r="A169" s="1" t="s">
        <v>100</v>
      </c>
      <c r="B169" s="12" t="s">
        <v>231</v>
      </c>
      <c r="C169" s="1" t="s">
        <v>28</v>
      </c>
      <c r="D169" s="1" t="s">
        <v>158</v>
      </c>
      <c r="E169" s="1" t="s">
        <v>169</v>
      </c>
      <c r="F169" s="6">
        <v>45885</v>
      </c>
      <c r="G169" s="1" t="s">
        <v>96</v>
      </c>
      <c r="H169" s="12" t="s">
        <v>18</v>
      </c>
      <c r="I169" s="7" t="s">
        <v>8</v>
      </c>
      <c r="J169" s="2" t="s">
        <v>5</v>
      </c>
      <c r="K169" s="2" t="s">
        <v>5</v>
      </c>
      <c r="L169" s="2" t="s">
        <v>5</v>
      </c>
      <c r="M169" s="2">
        <v>0.13194444444444445</v>
      </c>
      <c r="N169" s="2">
        <v>0.13541666666666666</v>
      </c>
      <c r="O169" s="2">
        <v>4.1666666666666664E-2</v>
      </c>
      <c r="P169" s="2">
        <v>0.875</v>
      </c>
      <c r="Q169" s="2">
        <v>0.18055555555555555</v>
      </c>
      <c r="R169" s="2" t="s">
        <v>5</v>
      </c>
      <c r="S169" s="2">
        <v>0.92708333333333337</v>
      </c>
      <c r="T169" s="2">
        <v>6.25E-2</v>
      </c>
      <c r="U169" s="2">
        <v>1.0243055555555556</v>
      </c>
      <c r="V169" s="2">
        <v>0.875</v>
      </c>
      <c r="W169" s="2">
        <v>9.7222222222222224E-2</v>
      </c>
      <c r="X169" s="2">
        <v>6.9444444444444434E-2</v>
      </c>
      <c r="Y169" s="2" t="s">
        <v>5</v>
      </c>
      <c r="Z169" s="2">
        <v>0.95833333333333337</v>
      </c>
      <c r="AA169" s="2">
        <v>0.9375</v>
      </c>
      <c r="AB169" s="2">
        <v>0.9375</v>
      </c>
      <c r="AC169" s="2">
        <v>0.97222222222222221</v>
      </c>
      <c r="AD169" s="2">
        <v>6.25E-2</v>
      </c>
      <c r="AE169" s="2">
        <v>0.20833333333333334</v>
      </c>
      <c r="AF169" s="2" t="s">
        <v>5</v>
      </c>
      <c r="AG169" s="2">
        <v>0.89583333333333337</v>
      </c>
      <c r="AH169" s="2">
        <v>1.0104166666666667</v>
      </c>
      <c r="AI169" s="2">
        <v>8.6805555555555566E-2</v>
      </c>
      <c r="AJ169" s="2">
        <v>9.0277777777777776E-2</v>
      </c>
      <c r="AK169" s="2">
        <v>8.3333333333333329E-2</v>
      </c>
      <c r="AL169" s="2">
        <v>0.1875</v>
      </c>
      <c r="AM169" s="2">
        <v>0.15625</v>
      </c>
      <c r="AN169" s="20"/>
      <c r="AO169" s="12"/>
    </row>
    <row r="170" spans="1:41">
      <c r="A170" s="21" t="s">
        <v>100</v>
      </c>
      <c r="B170" s="21" t="s">
        <v>231</v>
      </c>
      <c r="C170" s="21" t="s">
        <v>28</v>
      </c>
      <c r="D170" s="21" t="s">
        <v>158</v>
      </c>
      <c r="E170" s="21" t="s">
        <v>169</v>
      </c>
      <c r="F170" s="22">
        <v>45885</v>
      </c>
      <c r="G170" s="21" t="s">
        <v>96</v>
      </c>
      <c r="H170" s="21" t="s">
        <v>18</v>
      </c>
      <c r="I170" s="23" t="s">
        <v>9</v>
      </c>
      <c r="J170" s="24" t="s">
        <v>5</v>
      </c>
      <c r="K170" s="24" t="s">
        <v>5</v>
      </c>
      <c r="L170" s="24" t="s">
        <v>5</v>
      </c>
      <c r="M170" s="24">
        <f t="shared" ref="M170" si="657">IF(AND(ISBLANK(M168),ISBLANK(M169)),"A",IFERROR(+MOD(M169-M168,1),M167))</f>
        <v>0.75694444444444442</v>
      </c>
      <c r="N170" s="24">
        <f t="shared" ref="N170" si="658">IF(AND(ISBLANK(N168),ISBLANK(N169)),"A",IFERROR(+MOD(N169-N168,1),N167))</f>
        <v>0.71875</v>
      </c>
      <c r="O170" s="24">
        <f t="shared" ref="O170" si="659">IF(AND(ISBLANK(O168),ISBLANK(O169)),"A",IFERROR(+MOD(O169-O168,1),O167))</f>
        <v>0.59027777777777779</v>
      </c>
      <c r="P170" s="24">
        <f t="shared" ref="P170" si="660">IF(AND(ISBLANK(P168),ISBLANK(P169)),"A",IFERROR(+MOD(P169-P168,1),P167))</f>
        <v>0.45833333333333331</v>
      </c>
      <c r="Q170" s="24">
        <f t="shared" ref="Q170" si="661">IF(AND(ISBLANK(Q168),ISBLANK(Q169)),"A",IFERROR(+MOD(Q169-Q168,1),Q167))</f>
        <v>0.79166666666666663</v>
      </c>
      <c r="R170" s="24" t="s">
        <v>5</v>
      </c>
      <c r="S170" s="24">
        <f t="shared" ref="S170" si="662">IF(AND(ISBLANK(S168),ISBLANK(S169)),"A",IFERROR(+MOD(S169-S168,1),S167))</f>
        <v>0.54513888888888895</v>
      </c>
      <c r="T170" s="24">
        <f t="shared" ref="T170" si="663">IF(AND(ISBLANK(T168),ISBLANK(T169)),"A",IFERROR(+MOD(T169-T168,1),T167))</f>
        <v>0.68055555555555558</v>
      </c>
      <c r="U170" s="24">
        <f t="shared" ref="U170" si="664">IF(AND(ISBLANK(U168),ISBLANK(U169)),"A",IFERROR(+MOD(U169-U168,1),U167))</f>
        <v>0.62847222222222232</v>
      </c>
      <c r="V170" s="24">
        <f t="shared" ref="V170" si="665">IF(AND(ISBLANK(V168),ISBLANK(V169)),"A",IFERROR(+MOD(V169-V168,1),V167))</f>
        <v>0.45833333333333331</v>
      </c>
      <c r="W170" s="24">
        <f t="shared" ref="W170" si="666">IF(AND(ISBLANK(W168),ISBLANK(W169)),"A",IFERROR(+MOD(W169-W168,1),W167))</f>
        <v>0.71180555555555558</v>
      </c>
      <c r="X170" s="24">
        <f t="shared" ref="X170" si="667">IF(AND(ISBLANK(X168),ISBLANK(X169)),"A",IFERROR(+MOD(X169-X168,1),X167))</f>
        <v>0.67361111111111116</v>
      </c>
      <c r="Y170" s="24" t="s">
        <v>5</v>
      </c>
      <c r="Z170" s="24">
        <f t="shared" ref="Z170" si="668">IF(AND(ISBLANK(Z168),ISBLANK(Z169)),"A",IFERROR(+MOD(Z169-Z168,1),Z167))</f>
        <v>0.5625</v>
      </c>
      <c r="AA170" s="24">
        <f t="shared" ref="AA170" si="669">IF(AND(ISBLANK(AA168),ISBLANK(AA169)),"A",IFERROR(+MOD(AA169-AA168,1),AA167))</f>
        <v>0.54861111111111116</v>
      </c>
      <c r="AB170" s="24">
        <f t="shared" ref="AB170" si="670">IF(AND(ISBLANK(AB168),ISBLANK(AB169)),"A",IFERROR(+MOD(AB169-AB168,1),AB167))</f>
        <v>0.5625</v>
      </c>
      <c r="AC170" s="24">
        <f t="shared" ref="AC170" si="671">IF(AND(ISBLANK(AC168),ISBLANK(AC169)),"A",IFERROR(+MOD(AC169-AC168,1),AC167))</f>
        <v>0.57638888888888884</v>
      </c>
      <c r="AD170" s="24">
        <f t="shared" ref="AD170" si="672">IF(AND(ISBLANK(AD168),ISBLANK(AD169)),"A",IFERROR(+MOD(AD169-AD168,1),AD167))</f>
        <v>0.6875</v>
      </c>
      <c r="AE170" s="24">
        <f t="shared" ref="AE170" si="673">IF(AND(ISBLANK(AE168),ISBLANK(AE169)),"A",IFERROR(+MOD(AE169-AE168,1),AE167))</f>
        <v>0.79166666666666663</v>
      </c>
      <c r="AF170" s="24" t="s">
        <v>5</v>
      </c>
      <c r="AG170" s="24">
        <f t="shared" ref="AG170" si="674">IF(AND(ISBLANK(AG168),ISBLANK(AG169)),"A",IFERROR(+MOD(AG169-AG168,1),AG167))</f>
        <v>0.50694444444444442</v>
      </c>
      <c r="AH170" s="24">
        <f t="shared" ref="AH170" si="675">IF(AND(ISBLANK(AH168),ISBLANK(AH169)),"A",IFERROR(+MOD(AH169-AH168,1),AH167))</f>
        <v>0.5902777777777779</v>
      </c>
      <c r="AI170" s="24">
        <f t="shared" ref="AI170" si="676">IF(AND(ISBLANK(AI168),ISBLANK(AI169)),"A",IFERROR(+MOD(AI169-AI168,1),AI167))</f>
        <v>0.67013888888888884</v>
      </c>
      <c r="AJ170" s="24">
        <f t="shared" ref="AJ170" si="677">IF(AND(ISBLANK(AJ168),ISBLANK(AJ169)),"A",IFERROR(+MOD(AJ169-AJ168,1),AJ167))</f>
        <v>0.63888888888888884</v>
      </c>
      <c r="AK170" s="24">
        <f t="shared" ref="AK170" si="678">IF(AND(ISBLANK(AK168),ISBLANK(AK169)),"A",IFERROR(+MOD(AK169-AK168,1),AK167))</f>
        <v>0.58333333333333326</v>
      </c>
      <c r="AL170" s="24">
        <f t="shared" ref="AL170" si="679">IF(AND(ISBLANK(AL168),ISBLANK(AL169)),"A",IFERROR(+MOD(AL169-AL168,1),AL167))</f>
        <v>0.76388888888888884</v>
      </c>
      <c r="AM170" s="24">
        <f t="shared" ref="AM170" si="680">IF(AND(ISBLANK(AM168),ISBLANK(AM169)),"A",IFERROR(+MOD(AM169-AM168,1),AM167))</f>
        <v>0.62708333333333333</v>
      </c>
      <c r="AN170" s="17">
        <f>COUNT(F170:AM170)</f>
        <v>25</v>
      </c>
      <c r="AO170" s="21"/>
    </row>
    <row r="171" spans="1:41">
      <c r="A171" s="8" t="s">
        <v>107</v>
      </c>
      <c r="B171" s="12" t="s">
        <v>229</v>
      </c>
      <c r="C171" s="10" t="s">
        <v>63</v>
      </c>
      <c r="D171" s="10" t="s">
        <v>95</v>
      </c>
      <c r="E171" s="10" t="s">
        <v>93</v>
      </c>
      <c r="F171" s="11">
        <v>45887</v>
      </c>
      <c r="G171" s="12" t="s">
        <v>96</v>
      </c>
      <c r="H171" s="12" t="s">
        <v>18</v>
      </c>
      <c r="I171" s="13" t="s">
        <v>4</v>
      </c>
      <c r="J171" s="2" t="s">
        <v>6</v>
      </c>
      <c r="K171" s="2" t="s">
        <v>6</v>
      </c>
      <c r="L171" s="2" t="s">
        <v>6</v>
      </c>
      <c r="M171" s="2" t="s">
        <v>6</v>
      </c>
      <c r="N171" s="2" t="s">
        <v>6</v>
      </c>
      <c r="O171" s="2" t="s">
        <v>6</v>
      </c>
      <c r="P171" s="2" t="s">
        <v>6</v>
      </c>
      <c r="Q171" s="2" t="s">
        <v>6</v>
      </c>
      <c r="R171" s="2" t="s">
        <v>5</v>
      </c>
      <c r="S171" s="2" t="s">
        <v>5</v>
      </c>
      <c r="T171" s="2" t="s">
        <v>6</v>
      </c>
      <c r="U171" s="2" t="s">
        <v>6</v>
      </c>
      <c r="V171" s="2" t="s">
        <v>6</v>
      </c>
      <c r="W171" s="2" t="s">
        <v>6</v>
      </c>
      <c r="X171" s="2" t="s">
        <v>6</v>
      </c>
      <c r="Y171" s="2" t="s">
        <v>6</v>
      </c>
      <c r="Z171" s="2" t="s">
        <v>5</v>
      </c>
      <c r="AA171" s="2" t="s">
        <v>5</v>
      </c>
      <c r="AB171" s="2" t="s">
        <v>5</v>
      </c>
      <c r="AC171" s="2" t="s">
        <v>5</v>
      </c>
      <c r="AD171" s="2" t="s">
        <v>5</v>
      </c>
      <c r="AE171" s="2" t="s">
        <v>6</v>
      </c>
      <c r="AF171" s="2" t="s">
        <v>6</v>
      </c>
      <c r="AG171" s="2" t="s">
        <v>6</v>
      </c>
      <c r="AH171" s="2" t="s">
        <v>6</v>
      </c>
      <c r="AI171" s="2" t="s">
        <v>6</v>
      </c>
      <c r="AJ171" s="2" t="s">
        <v>6</v>
      </c>
      <c r="AK171" s="2" t="s">
        <v>6</v>
      </c>
      <c r="AL171" s="2" t="s">
        <v>6</v>
      </c>
      <c r="AM171" s="2" t="s">
        <v>6</v>
      </c>
      <c r="AN171" s="20"/>
      <c r="AO171" s="12" t="s">
        <v>18</v>
      </c>
    </row>
    <row r="172" spans="1:41">
      <c r="A172" s="1" t="s">
        <v>107</v>
      </c>
      <c r="B172" s="12" t="s">
        <v>229</v>
      </c>
      <c r="C172" s="1" t="s">
        <v>63</v>
      </c>
      <c r="D172" s="1" t="s">
        <v>95</v>
      </c>
      <c r="E172" s="1" t="s">
        <v>93</v>
      </c>
      <c r="F172" s="6">
        <v>45887</v>
      </c>
      <c r="G172" s="1" t="s">
        <v>96</v>
      </c>
      <c r="H172" s="12" t="s">
        <v>18</v>
      </c>
      <c r="I172" s="7" t="s">
        <v>7</v>
      </c>
      <c r="J172" s="2">
        <v>0.38541666666666669</v>
      </c>
      <c r="K172" s="2">
        <v>0.4548611111111111</v>
      </c>
      <c r="L172" s="2">
        <v>0.375</v>
      </c>
      <c r="M172" s="2">
        <v>0.40277777777777773</v>
      </c>
      <c r="N172" s="2">
        <v>0.375</v>
      </c>
      <c r="O172" s="2">
        <v>0.3888888888888889</v>
      </c>
      <c r="P172" s="2">
        <v>0.42708333333333331</v>
      </c>
      <c r="Q172" s="2">
        <v>0.38541666666666669</v>
      </c>
      <c r="R172" s="2" t="s">
        <v>5</v>
      </c>
      <c r="S172" s="2" t="s">
        <v>5</v>
      </c>
      <c r="T172" s="2">
        <v>0.4375</v>
      </c>
      <c r="U172" s="2">
        <v>0.3923611111111111</v>
      </c>
      <c r="V172" s="2">
        <v>0.39583333333333331</v>
      </c>
      <c r="W172" s="2">
        <v>0.46180555555555558</v>
      </c>
      <c r="X172" s="2">
        <v>0.41666666666666669</v>
      </c>
      <c r="Y172" s="2">
        <v>0.42708333333333331</v>
      </c>
      <c r="Z172" s="2" t="s">
        <v>5</v>
      </c>
      <c r="AA172" s="2" t="s">
        <v>5</v>
      </c>
      <c r="AB172" s="2" t="s">
        <v>5</v>
      </c>
      <c r="AC172" s="2" t="s">
        <v>5</v>
      </c>
      <c r="AD172" s="2" t="s">
        <v>5</v>
      </c>
      <c r="AE172" s="2">
        <v>0.3923611111111111</v>
      </c>
      <c r="AF172" s="2">
        <v>0.52430555555555558</v>
      </c>
      <c r="AG172" s="2">
        <v>0.40625</v>
      </c>
      <c r="AH172" s="2">
        <v>0.4201388888888889</v>
      </c>
      <c r="AI172" s="2">
        <v>0.44791666666666669</v>
      </c>
      <c r="AJ172" s="2">
        <v>0.43402777777777773</v>
      </c>
      <c r="AK172" s="2">
        <v>0.40625</v>
      </c>
      <c r="AL172" s="2">
        <v>0.45833333333333331</v>
      </c>
      <c r="AM172" s="2">
        <v>0.54166666666666663</v>
      </c>
      <c r="AN172" s="20"/>
      <c r="AO172" s="12"/>
    </row>
    <row r="173" spans="1:41">
      <c r="A173" s="1" t="s">
        <v>107</v>
      </c>
      <c r="B173" s="12" t="s">
        <v>229</v>
      </c>
      <c r="C173" s="1" t="s">
        <v>63</v>
      </c>
      <c r="D173" s="1" t="s">
        <v>95</v>
      </c>
      <c r="E173" s="1" t="s">
        <v>93</v>
      </c>
      <c r="F173" s="6">
        <v>45887</v>
      </c>
      <c r="G173" s="1" t="s">
        <v>96</v>
      </c>
      <c r="H173" s="12" t="s">
        <v>18</v>
      </c>
      <c r="I173" s="7" t="s">
        <v>8</v>
      </c>
      <c r="J173" s="2">
        <v>0.89583333333333337</v>
      </c>
      <c r="K173" s="2">
        <v>0.79166666666666663</v>
      </c>
      <c r="L173" s="2">
        <v>0.91666666666666663</v>
      </c>
      <c r="M173" s="2">
        <v>0.875</v>
      </c>
      <c r="N173" s="2">
        <v>1</v>
      </c>
      <c r="O173" s="2">
        <v>0.79166666666666663</v>
      </c>
      <c r="P173" s="2">
        <v>0.92708333333333337</v>
      </c>
      <c r="Q173" s="2">
        <v>0.34791666666666665</v>
      </c>
      <c r="R173" s="2" t="s">
        <v>5</v>
      </c>
      <c r="S173" s="2" t="s">
        <v>5</v>
      </c>
      <c r="T173" s="2">
        <v>0.83333333333333337</v>
      </c>
      <c r="U173" s="2">
        <v>0.97222222222222221</v>
      </c>
      <c r="V173" s="2">
        <v>0.875</v>
      </c>
      <c r="W173" s="2">
        <v>0.95138888888888884</v>
      </c>
      <c r="X173" s="2">
        <v>4.9999999999999996E-2</v>
      </c>
      <c r="Y173" s="2">
        <v>0.78125</v>
      </c>
      <c r="Z173" s="2" t="s">
        <v>5</v>
      </c>
      <c r="AA173" s="2" t="s">
        <v>5</v>
      </c>
      <c r="AB173" s="2" t="s">
        <v>5</v>
      </c>
      <c r="AC173" s="2" t="s">
        <v>5</v>
      </c>
      <c r="AD173" s="2" t="s">
        <v>5</v>
      </c>
      <c r="AE173" s="2">
        <v>0.18055555555555555</v>
      </c>
      <c r="AF173" s="2">
        <v>0.72916666666666663</v>
      </c>
      <c r="AG173" s="2">
        <v>7.2916666666666671E-2</v>
      </c>
      <c r="AH173" s="2">
        <v>1.03125</v>
      </c>
      <c r="AI173" s="2">
        <v>1.0229166666666667</v>
      </c>
      <c r="AJ173" s="2">
        <v>0.95833333333333337</v>
      </c>
      <c r="AK173" s="2">
        <v>0.11458333333333333</v>
      </c>
      <c r="AL173" s="2">
        <v>0.21875</v>
      </c>
      <c r="AM173" s="2">
        <v>0.73263888888888884</v>
      </c>
      <c r="AN173" s="20"/>
      <c r="AO173" s="12"/>
    </row>
    <row r="174" spans="1:41">
      <c r="A174" s="21" t="s">
        <v>107</v>
      </c>
      <c r="B174" s="21" t="s">
        <v>229</v>
      </c>
      <c r="C174" s="21" t="s">
        <v>63</v>
      </c>
      <c r="D174" s="21" t="s">
        <v>95</v>
      </c>
      <c r="E174" s="21" t="s">
        <v>93</v>
      </c>
      <c r="F174" s="22">
        <v>45887</v>
      </c>
      <c r="G174" s="21" t="s">
        <v>96</v>
      </c>
      <c r="H174" s="21" t="s">
        <v>18</v>
      </c>
      <c r="I174" s="23" t="s">
        <v>9</v>
      </c>
      <c r="J174" s="24">
        <f>IF(AND(ISBLANK(J172),ISBLANK(J173)),"A",IFERROR(+MOD(J173-J172,1),J171))</f>
        <v>0.51041666666666674</v>
      </c>
      <c r="K174" s="24">
        <f t="shared" ref="K174" si="681">IF(AND(ISBLANK(K172),ISBLANK(K173)),"A",IFERROR(+MOD(K173-K172,1),K171))</f>
        <v>0.33680555555555552</v>
      </c>
      <c r="L174" s="24">
        <f t="shared" ref="L174" si="682">IF(AND(ISBLANK(L172),ISBLANK(L173)),"A",IFERROR(+MOD(L173-L172,1),L171))</f>
        <v>0.54166666666666663</v>
      </c>
      <c r="M174" s="24">
        <f t="shared" ref="M174" si="683">IF(AND(ISBLANK(M172),ISBLANK(M173)),"A",IFERROR(+MOD(M173-M172,1),M171))</f>
        <v>0.47222222222222227</v>
      </c>
      <c r="N174" s="24">
        <f t="shared" ref="N174" si="684">IF(AND(ISBLANK(N172),ISBLANK(N173)),"A",IFERROR(+MOD(N173-N172,1),N171))</f>
        <v>0.625</v>
      </c>
      <c r="O174" s="24">
        <f t="shared" ref="O174" si="685">IF(AND(ISBLANK(O172),ISBLANK(O173)),"A",IFERROR(+MOD(O173-O172,1),O171))</f>
        <v>0.40277777777777773</v>
      </c>
      <c r="P174" s="24">
        <f t="shared" ref="P174" si="686">IF(AND(ISBLANK(P172),ISBLANK(P173)),"A",IFERROR(+MOD(P173-P172,1),P171))</f>
        <v>0.5</v>
      </c>
      <c r="Q174" s="24">
        <f t="shared" ref="Q174" si="687">IF(AND(ISBLANK(Q172),ISBLANK(Q173)),"A",IFERROR(+MOD(Q173-Q172,1),Q171))</f>
        <v>0.96249999999999991</v>
      </c>
      <c r="R174" s="24" t="s">
        <v>5</v>
      </c>
      <c r="S174" s="24" t="s">
        <v>5</v>
      </c>
      <c r="T174" s="24">
        <f t="shared" ref="T174" si="688">IF(AND(ISBLANK(T172),ISBLANK(T173)),"A",IFERROR(+MOD(T173-T172,1),T171))</f>
        <v>0.39583333333333337</v>
      </c>
      <c r="U174" s="24">
        <f t="shared" ref="U174" si="689">IF(AND(ISBLANK(U172),ISBLANK(U173)),"A",IFERROR(+MOD(U173-U172,1),U171))</f>
        <v>0.57986111111111116</v>
      </c>
      <c r="V174" s="24">
        <f t="shared" ref="V174" si="690">IF(AND(ISBLANK(V172),ISBLANK(V173)),"A",IFERROR(+MOD(V173-V172,1),V171))</f>
        <v>0.47916666666666669</v>
      </c>
      <c r="W174" s="24">
        <f t="shared" ref="W174" si="691">IF(AND(ISBLANK(W172),ISBLANK(W173)),"A",IFERROR(+MOD(W173-W172,1),W171))</f>
        <v>0.48958333333333326</v>
      </c>
      <c r="X174" s="24">
        <f t="shared" ref="X174" si="692">IF(AND(ISBLANK(X172),ISBLANK(X173)),"A",IFERROR(+MOD(X173-X172,1),X171))</f>
        <v>0.6333333333333333</v>
      </c>
      <c r="Y174" s="24">
        <f t="shared" ref="Y174" si="693">IF(AND(ISBLANK(Y172),ISBLANK(Y173)),"A",IFERROR(+MOD(Y173-Y172,1),Y171))</f>
        <v>0.35416666666666669</v>
      </c>
      <c r="Z174" s="24" t="s">
        <v>5</v>
      </c>
      <c r="AA174" s="24" t="s">
        <v>5</v>
      </c>
      <c r="AB174" s="24" t="s">
        <v>5</v>
      </c>
      <c r="AC174" s="24" t="s">
        <v>5</v>
      </c>
      <c r="AD174" s="24" t="s">
        <v>5</v>
      </c>
      <c r="AE174" s="24">
        <f t="shared" ref="AE174:AF174" si="694">IF(AND(ISBLANK(AE172),ISBLANK(AE173)),"A",IFERROR(+MOD(AE173-AE172,1),AE171))</f>
        <v>0.78819444444444442</v>
      </c>
      <c r="AF174" s="24">
        <f t="shared" si="694"/>
        <v>0.20486111111111105</v>
      </c>
      <c r="AG174" s="24">
        <f t="shared" ref="AG174" si="695">IF(AND(ISBLANK(AG172),ISBLANK(AG173)),"A",IFERROR(+MOD(AG173-AG172,1),AG171))</f>
        <v>0.66666666666666674</v>
      </c>
      <c r="AH174" s="24">
        <f t="shared" ref="AH174" si="696">IF(AND(ISBLANK(AH172),ISBLANK(AH173)),"A",IFERROR(+MOD(AH173-AH172,1),AH171))</f>
        <v>0.61111111111111116</v>
      </c>
      <c r="AI174" s="24">
        <f t="shared" ref="AI174" si="697">IF(AND(ISBLANK(AI172),ISBLANK(AI173)),"A",IFERROR(+MOD(AI173-AI172,1),AI171))</f>
        <v>0.57499999999999996</v>
      </c>
      <c r="AJ174" s="24">
        <f t="shared" ref="AJ174" si="698">IF(AND(ISBLANK(AJ172),ISBLANK(AJ173)),"A",IFERROR(+MOD(AJ173-AJ172,1),AJ171))</f>
        <v>0.52430555555555558</v>
      </c>
      <c r="AK174" s="24">
        <f t="shared" ref="AK174" si="699">IF(AND(ISBLANK(AK172),ISBLANK(AK173)),"A",IFERROR(+MOD(AK173-AK172,1),AK171))</f>
        <v>0.70833333333333326</v>
      </c>
      <c r="AL174" s="24">
        <f t="shared" ref="AL174" si="700">IF(AND(ISBLANK(AL172),ISBLANK(AL173)),"A",IFERROR(+MOD(AL173-AL172,1),AL171))</f>
        <v>0.76041666666666674</v>
      </c>
      <c r="AM174" s="24">
        <f t="shared" ref="AM174" si="701">IF(AND(ISBLANK(AM172),ISBLANK(AM173)),"A",IFERROR(+MOD(AM173-AM172,1),AM171))</f>
        <v>0.19097222222222221</v>
      </c>
      <c r="AN174" s="17">
        <f>COUNT(F174:AM174)</f>
        <v>24</v>
      </c>
      <c r="AO174" s="21"/>
    </row>
    <row r="175" spans="1:41">
      <c r="A175" s="8" t="s">
        <v>108</v>
      </c>
      <c r="B175" s="12" t="s">
        <v>233</v>
      </c>
      <c r="C175" s="10" t="s">
        <v>20</v>
      </c>
      <c r="D175" s="10" t="s">
        <v>41</v>
      </c>
      <c r="E175" s="10" t="s">
        <v>175</v>
      </c>
      <c r="F175" s="11">
        <v>45872</v>
      </c>
      <c r="G175" s="12" t="s">
        <v>96</v>
      </c>
      <c r="H175" s="12" t="s">
        <v>18</v>
      </c>
      <c r="I175" s="13" t="s">
        <v>4</v>
      </c>
      <c r="J175" s="2" t="s">
        <v>6</v>
      </c>
      <c r="K175" s="2" t="s">
        <v>5</v>
      </c>
      <c r="L175" s="2" t="s">
        <v>6</v>
      </c>
      <c r="M175" s="2" t="s">
        <v>6</v>
      </c>
      <c r="N175" s="2" t="s">
        <v>6</v>
      </c>
      <c r="O175" s="2" t="s">
        <v>6</v>
      </c>
      <c r="P175" s="2" t="s">
        <v>5</v>
      </c>
      <c r="Q175" s="2" t="s">
        <v>6</v>
      </c>
      <c r="R175" s="2" t="s">
        <v>5</v>
      </c>
      <c r="S175" s="2" t="s">
        <v>6</v>
      </c>
      <c r="T175" s="2" t="s">
        <v>6</v>
      </c>
      <c r="U175" s="2" t="s">
        <v>6</v>
      </c>
      <c r="V175" s="2" t="s">
        <v>6</v>
      </c>
      <c r="W175" s="2" t="s">
        <v>6</v>
      </c>
      <c r="X175" s="2" t="s">
        <v>5</v>
      </c>
      <c r="Y175" s="2" t="s">
        <v>6</v>
      </c>
      <c r="Z175" s="2" t="s">
        <v>5</v>
      </c>
      <c r="AA175" s="2" t="s">
        <v>5</v>
      </c>
      <c r="AB175" s="2" t="s">
        <v>5</v>
      </c>
      <c r="AC175" s="2" t="s">
        <v>5</v>
      </c>
      <c r="AD175" s="2" t="s">
        <v>6</v>
      </c>
      <c r="AE175" s="2" t="s">
        <v>6</v>
      </c>
      <c r="AF175" s="2" t="s">
        <v>5</v>
      </c>
      <c r="AG175" s="2" t="s">
        <v>6</v>
      </c>
      <c r="AH175" s="2" t="s">
        <v>6</v>
      </c>
      <c r="AI175" s="2" t="s">
        <v>5</v>
      </c>
      <c r="AJ175" s="2" t="s">
        <v>5</v>
      </c>
      <c r="AK175" s="2" t="s">
        <v>6</v>
      </c>
      <c r="AL175" s="2" t="s">
        <v>6</v>
      </c>
      <c r="AM175" s="2" t="s">
        <v>5</v>
      </c>
      <c r="AN175" s="20"/>
      <c r="AO175" s="12" t="s">
        <v>18</v>
      </c>
    </row>
    <row r="176" spans="1:41">
      <c r="A176" s="1" t="s">
        <v>108</v>
      </c>
      <c r="B176" s="12" t="s">
        <v>233</v>
      </c>
      <c r="C176" s="1" t="s">
        <v>20</v>
      </c>
      <c r="D176" s="1" t="s">
        <v>41</v>
      </c>
      <c r="E176" s="1" t="s">
        <v>175</v>
      </c>
      <c r="F176" s="6">
        <v>45872</v>
      </c>
      <c r="G176" s="1" t="s">
        <v>96</v>
      </c>
      <c r="H176" s="12" t="s">
        <v>18</v>
      </c>
      <c r="I176" s="7" t="s">
        <v>7</v>
      </c>
      <c r="J176" s="2">
        <v>0.5</v>
      </c>
      <c r="K176" s="2" t="s">
        <v>5</v>
      </c>
      <c r="L176" s="2">
        <v>0.5</v>
      </c>
      <c r="M176" s="2">
        <v>0.86805555555555547</v>
      </c>
      <c r="N176" s="2">
        <v>0.45833333333333331</v>
      </c>
      <c r="O176" s="2">
        <v>0.5</v>
      </c>
      <c r="P176" s="2" t="s">
        <v>5</v>
      </c>
      <c r="Q176" s="2">
        <v>0.52083333333333337</v>
      </c>
      <c r="R176" s="2" t="s">
        <v>5</v>
      </c>
      <c r="S176" s="2">
        <v>0.5</v>
      </c>
      <c r="T176" s="2">
        <v>0.45833333333333331</v>
      </c>
      <c r="U176" s="2">
        <v>0.625</v>
      </c>
      <c r="V176" s="2">
        <v>0.4375</v>
      </c>
      <c r="W176" s="2">
        <v>0.52083333333333337</v>
      </c>
      <c r="X176" s="2" t="s">
        <v>5</v>
      </c>
      <c r="Y176" s="2">
        <v>0.41666666666666669</v>
      </c>
      <c r="Z176" s="2" t="s">
        <v>5</v>
      </c>
      <c r="AA176" s="2" t="s">
        <v>5</v>
      </c>
      <c r="AB176" s="2" t="s">
        <v>5</v>
      </c>
      <c r="AC176" s="2" t="s">
        <v>5</v>
      </c>
      <c r="AD176" s="2">
        <v>0.4909722222222222</v>
      </c>
      <c r="AE176" s="2">
        <v>0.49305555555555558</v>
      </c>
      <c r="AF176" s="2" t="s">
        <v>5</v>
      </c>
      <c r="AG176" s="2">
        <v>0.49374999999999997</v>
      </c>
      <c r="AH176" s="2">
        <v>0.54166666666666663</v>
      </c>
      <c r="AI176" s="2" t="s">
        <v>5</v>
      </c>
      <c r="AJ176" s="2" t="s">
        <v>5</v>
      </c>
      <c r="AK176" s="2">
        <v>0.51736111111111105</v>
      </c>
      <c r="AL176" s="2">
        <v>0.57638888888888895</v>
      </c>
      <c r="AM176" s="2" t="s">
        <v>5</v>
      </c>
      <c r="AN176" s="20"/>
      <c r="AO176" s="12"/>
    </row>
    <row r="177" spans="1:41">
      <c r="A177" s="1" t="s">
        <v>108</v>
      </c>
      <c r="B177" s="12" t="s">
        <v>233</v>
      </c>
      <c r="C177" s="1" t="s">
        <v>20</v>
      </c>
      <c r="D177" s="1" t="s">
        <v>41</v>
      </c>
      <c r="E177" s="1" t="s">
        <v>175</v>
      </c>
      <c r="F177" s="6">
        <v>45872</v>
      </c>
      <c r="G177" s="1" t="s">
        <v>96</v>
      </c>
      <c r="H177" s="12" t="s">
        <v>18</v>
      </c>
      <c r="I177" s="7" t="s">
        <v>8</v>
      </c>
      <c r="J177" s="2">
        <v>0.92361111111111116</v>
      </c>
      <c r="K177" s="2" t="s">
        <v>5</v>
      </c>
      <c r="L177" s="2">
        <v>0.875</v>
      </c>
      <c r="M177" s="2">
        <v>0.96180555555555547</v>
      </c>
      <c r="N177" s="2">
        <v>0.11805555555555557</v>
      </c>
      <c r="O177" s="2">
        <v>0.33333333333333331</v>
      </c>
      <c r="P177" s="2" t="s">
        <v>5</v>
      </c>
      <c r="Q177" s="2">
        <v>0.19791666666666666</v>
      </c>
      <c r="R177" s="2" t="s">
        <v>5</v>
      </c>
      <c r="S177" s="2">
        <v>0.875</v>
      </c>
      <c r="T177" s="2">
        <v>0.11944444444444445</v>
      </c>
      <c r="U177" s="2">
        <v>7.6388888888888895E-2</v>
      </c>
      <c r="V177" s="2">
        <v>0.90277777777777779</v>
      </c>
      <c r="W177" s="2">
        <v>0.10416666666666667</v>
      </c>
      <c r="X177" s="2" t="s">
        <v>5</v>
      </c>
      <c r="Y177" s="2">
        <v>0.66666666666666663</v>
      </c>
      <c r="Z177" s="2" t="s">
        <v>5</v>
      </c>
      <c r="AA177" s="2" t="s">
        <v>5</v>
      </c>
      <c r="AB177" s="2" t="s">
        <v>5</v>
      </c>
      <c r="AC177" s="2" t="s">
        <v>5</v>
      </c>
      <c r="AD177" s="2">
        <v>0.875</v>
      </c>
      <c r="AE177" s="2">
        <v>0.2951388888888889</v>
      </c>
      <c r="AF177" s="2" t="s">
        <v>5</v>
      </c>
      <c r="AG177" s="2">
        <v>0.11805555555555557</v>
      </c>
      <c r="AH177" s="2">
        <v>0.12847222222222224</v>
      </c>
      <c r="AI177" s="2" t="s">
        <v>5</v>
      </c>
      <c r="AJ177" s="2" t="s">
        <v>5</v>
      </c>
      <c r="AK177" s="2">
        <v>0.13958333333333334</v>
      </c>
      <c r="AL177" s="2">
        <v>0.20833333333333334</v>
      </c>
      <c r="AM177" s="2" t="s">
        <v>5</v>
      </c>
      <c r="AN177" s="20"/>
      <c r="AO177" s="12"/>
    </row>
    <row r="178" spans="1:41">
      <c r="A178" s="21" t="s">
        <v>108</v>
      </c>
      <c r="B178" s="21" t="s">
        <v>233</v>
      </c>
      <c r="C178" s="21" t="s">
        <v>20</v>
      </c>
      <c r="D178" s="21" t="s">
        <v>41</v>
      </c>
      <c r="E178" s="21" t="s">
        <v>175</v>
      </c>
      <c r="F178" s="22">
        <v>45872</v>
      </c>
      <c r="G178" s="21" t="s">
        <v>96</v>
      </c>
      <c r="H178" s="21" t="s">
        <v>18</v>
      </c>
      <c r="I178" s="23" t="s">
        <v>9</v>
      </c>
      <c r="J178" s="24">
        <f>IF(AND(ISBLANK(J176),ISBLANK(J177)),"A",IFERROR(+MOD(J177-J176,1),J175))</f>
        <v>0.42361111111111116</v>
      </c>
      <c r="K178" s="24" t="s">
        <v>5</v>
      </c>
      <c r="L178" s="24">
        <f t="shared" ref="L178" si="702">IF(AND(ISBLANK(L176),ISBLANK(L177)),"A",IFERROR(+MOD(L177-L176,1),L175))</f>
        <v>0.375</v>
      </c>
      <c r="M178" s="24">
        <f t="shared" ref="M178" si="703">IF(AND(ISBLANK(M176),ISBLANK(M177)),"A",IFERROR(+MOD(M177-M176,1),M175))</f>
        <v>9.375E-2</v>
      </c>
      <c r="N178" s="24">
        <f t="shared" ref="N178" si="704">IF(AND(ISBLANK(N176),ISBLANK(N177)),"A",IFERROR(+MOD(N177-N176,1),N175))</f>
        <v>0.65972222222222232</v>
      </c>
      <c r="O178" s="24">
        <f t="shared" ref="O178" si="705">IF(AND(ISBLANK(O176),ISBLANK(O177)),"A",IFERROR(+MOD(O177-O176,1),O175))</f>
        <v>0.83333333333333326</v>
      </c>
      <c r="P178" s="24" t="s">
        <v>5</v>
      </c>
      <c r="Q178" s="24">
        <f t="shared" ref="Q178" si="706">IF(AND(ISBLANK(Q176),ISBLANK(Q177)),"A",IFERROR(+MOD(Q177-Q176,1),Q175))</f>
        <v>0.67708333333333326</v>
      </c>
      <c r="R178" s="24" t="s">
        <v>5</v>
      </c>
      <c r="S178" s="24">
        <f t="shared" ref="S178" si="707">IF(AND(ISBLANK(S176),ISBLANK(S177)),"A",IFERROR(+MOD(S177-S176,1),S175))</f>
        <v>0.375</v>
      </c>
      <c r="T178" s="24">
        <f t="shared" ref="T178" si="708">IF(AND(ISBLANK(T176),ISBLANK(T177)),"A",IFERROR(+MOD(T177-T176,1),T175))</f>
        <v>0.6611111111111112</v>
      </c>
      <c r="U178" s="24">
        <f t="shared" ref="U178" si="709">IF(AND(ISBLANK(U176),ISBLANK(U177)),"A",IFERROR(+MOD(U177-U176,1),U175))</f>
        <v>0.45138888888888884</v>
      </c>
      <c r="V178" s="24">
        <f t="shared" ref="V178:W178" si="710">IF(AND(ISBLANK(V176),ISBLANK(V177)),"A",IFERROR(+MOD(V177-V176,1),V175))</f>
        <v>0.46527777777777779</v>
      </c>
      <c r="W178" s="24">
        <f t="shared" si="710"/>
        <v>0.58333333333333326</v>
      </c>
      <c r="X178" s="24" t="s">
        <v>5</v>
      </c>
      <c r="Y178" s="24">
        <f t="shared" ref="Y178" si="711">IF(AND(ISBLANK(Y176),ISBLANK(Y177)),"A",IFERROR(+MOD(Y177-Y176,1),Y175))</f>
        <v>0.24999999999999994</v>
      </c>
      <c r="Z178" s="24" t="s">
        <v>5</v>
      </c>
      <c r="AA178" s="24" t="s">
        <v>5</v>
      </c>
      <c r="AB178" s="24" t="s">
        <v>5</v>
      </c>
      <c r="AC178" s="24" t="s">
        <v>5</v>
      </c>
      <c r="AD178" s="24">
        <f t="shared" ref="AD178" si="712">IF(AND(ISBLANK(AD176),ISBLANK(AD177)),"A",IFERROR(+MOD(AD177-AD176,1),AD175))</f>
        <v>0.3840277777777778</v>
      </c>
      <c r="AE178" s="24">
        <f t="shared" ref="AE178" si="713">IF(AND(ISBLANK(AE176),ISBLANK(AE177)),"A",IFERROR(+MOD(AE177-AE176,1),AE175))</f>
        <v>0.80208333333333326</v>
      </c>
      <c r="AF178" s="24" t="s">
        <v>5</v>
      </c>
      <c r="AG178" s="24">
        <f t="shared" ref="AG178" si="714">IF(AND(ISBLANK(AG176),ISBLANK(AG177)),"A",IFERROR(+MOD(AG177-AG176,1),AG175))</f>
        <v>0.62430555555555567</v>
      </c>
      <c r="AH178" s="24">
        <f t="shared" ref="AH178" si="715">IF(AND(ISBLANK(AH176),ISBLANK(AH177)),"A",IFERROR(+MOD(AH177-AH176,1),AH175))</f>
        <v>0.58680555555555558</v>
      </c>
      <c r="AI178" s="24" t="s">
        <v>5</v>
      </c>
      <c r="AJ178" s="24" t="s">
        <v>5</v>
      </c>
      <c r="AK178" s="24">
        <f t="shared" ref="AK178:AL178" si="716">IF(AND(ISBLANK(AK176),ISBLANK(AK177)),"A",IFERROR(+MOD(AK177-AK176,1),AK175))</f>
        <v>0.62222222222222223</v>
      </c>
      <c r="AL178" s="24">
        <f t="shared" si="716"/>
        <v>0.63194444444444442</v>
      </c>
      <c r="AM178" s="24" t="s">
        <v>5</v>
      </c>
      <c r="AN178" s="17">
        <f>COUNT(F178:AM178)</f>
        <v>19</v>
      </c>
      <c r="AO178" s="21"/>
    </row>
    <row r="179" spans="1:41">
      <c r="A179" s="8" t="s">
        <v>160</v>
      </c>
      <c r="B179" s="12" t="s">
        <v>232</v>
      </c>
      <c r="C179" s="8" t="s">
        <v>78</v>
      </c>
      <c r="D179" s="8" t="s">
        <v>42</v>
      </c>
      <c r="E179" s="8" t="s">
        <v>149</v>
      </c>
      <c r="F179" s="11">
        <v>45905</v>
      </c>
      <c r="G179" s="8" t="s">
        <v>32</v>
      </c>
      <c r="H179" s="12" t="s">
        <v>18</v>
      </c>
      <c r="I179" s="14" t="s">
        <v>4</v>
      </c>
      <c r="J179" s="2" t="s">
        <v>6</v>
      </c>
      <c r="K179" s="2" t="s">
        <v>5</v>
      </c>
      <c r="L179" s="2" t="s">
        <v>6</v>
      </c>
      <c r="M179" s="2" t="s">
        <v>6</v>
      </c>
      <c r="N179" s="2" t="s">
        <v>6</v>
      </c>
      <c r="O179" s="2" t="s">
        <v>6</v>
      </c>
      <c r="P179" s="2" t="s">
        <v>6</v>
      </c>
      <c r="Q179" s="2" t="s">
        <v>6</v>
      </c>
      <c r="R179" s="2" t="s">
        <v>5</v>
      </c>
      <c r="S179" s="2" t="s">
        <v>6</v>
      </c>
      <c r="T179" s="2" t="s">
        <v>6</v>
      </c>
      <c r="U179" s="2" t="s">
        <v>6</v>
      </c>
      <c r="V179" s="2" t="s">
        <v>6</v>
      </c>
      <c r="W179" s="2" t="s">
        <v>6</v>
      </c>
      <c r="X179" s="2" t="s">
        <v>6</v>
      </c>
      <c r="Y179" s="2" t="s">
        <v>5</v>
      </c>
      <c r="Z179" s="2" t="s">
        <v>6</v>
      </c>
      <c r="AA179" s="2" t="s">
        <v>6</v>
      </c>
      <c r="AB179" s="2" t="s">
        <v>6</v>
      </c>
      <c r="AC179" s="2" t="s">
        <v>6</v>
      </c>
      <c r="AD179" s="2" t="s">
        <v>6</v>
      </c>
      <c r="AE179" s="2" t="s">
        <v>6</v>
      </c>
      <c r="AF179" s="2" t="s">
        <v>5</v>
      </c>
      <c r="AG179" s="2" t="s">
        <v>6</v>
      </c>
      <c r="AH179" s="2" t="s">
        <v>6</v>
      </c>
      <c r="AI179" s="54" t="s">
        <v>6</v>
      </c>
      <c r="AJ179" s="2" t="s">
        <v>6</v>
      </c>
      <c r="AK179" s="2" t="s">
        <v>6</v>
      </c>
      <c r="AL179" s="2" t="s">
        <v>6</v>
      </c>
      <c r="AM179" s="2" t="s">
        <v>5</v>
      </c>
      <c r="AN179" s="20"/>
      <c r="AO179" s="12" t="s">
        <v>18</v>
      </c>
    </row>
    <row r="180" spans="1:41">
      <c r="A180" s="1" t="s">
        <v>160</v>
      </c>
      <c r="B180" s="12" t="s">
        <v>232</v>
      </c>
      <c r="C180" s="3" t="s">
        <v>78</v>
      </c>
      <c r="D180" s="3" t="s">
        <v>42</v>
      </c>
      <c r="E180" s="3" t="s">
        <v>149</v>
      </c>
      <c r="F180" s="6">
        <v>45905</v>
      </c>
      <c r="G180" s="5" t="s">
        <v>32</v>
      </c>
      <c r="H180" s="12" t="s">
        <v>18</v>
      </c>
      <c r="I180" s="7" t="s">
        <v>7</v>
      </c>
      <c r="J180" s="2">
        <v>0.375</v>
      </c>
      <c r="K180" s="2" t="s">
        <v>5</v>
      </c>
      <c r="L180" s="2">
        <v>0.375</v>
      </c>
      <c r="M180" s="2">
        <v>0.375</v>
      </c>
      <c r="N180" s="2">
        <v>0.375</v>
      </c>
      <c r="O180" s="2">
        <v>0.4375</v>
      </c>
      <c r="P180" s="2">
        <v>0.375</v>
      </c>
      <c r="Q180" s="2">
        <v>0.375</v>
      </c>
      <c r="R180" s="2" t="s">
        <v>5</v>
      </c>
      <c r="S180" s="2">
        <v>0.375</v>
      </c>
      <c r="T180" s="2">
        <v>0.3888888888888889</v>
      </c>
      <c r="U180" s="2">
        <v>0.62152777777777779</v>
      </c>
      <c r="V180" s="2">
        <v>0.54166666666666663</v>
      </c>
      <c r="W180" s="2">
        <v>0.5625</v>
      </c>
      <c r="X180" s="2">
        <v>0.41666666666666669</v>
      </c>
      <c r="Y180" s="2" t="s">
        <v>5</v>
      </c>
      <c r="Z180" s="2">
        <v>0.37847222222222227</v>
      </c>
      <c r="AA180" s="2">
        <v>0.63541666666666663</v>
      </c>
      <c r="AB180" s="2">
        <v>0.58333333333333337</v>
      </c>
      <c r="AC180" s="2">
        <v>0.58333333333333337</v>
      </c>
      <c r="AD180" s="2">
        <v>0.65625</v>
      </c>
      <c r="AE180" s="2">
        <v>0.64583333333333337</v>
      </c>
      <c r="AF180" s="2" t="s">
        <v>5</v>
      </c>
      <c r="AG180" s="2">
        <v>0.40277777777777773</v>
      </c>
      <c r="AH180" s="2">
        <v>0.4236111111111111</v>
      </c>
      <c r="AI180" s="54">
        <v>0.39930555555555558</v>
      </c>
      <c r="AJ180" s="2">
        <v>0.40277777777777773</v>
      </c>
      <c r="AK180" s="2">
        <v>0.40972222222222227</v>
      </c>
      <c r="AL180" s="2">
        <v>0.40625</v>
      </c>
      <c r="AM180" s="2" t="s">
        <v>5</v>
      </c>
      <c r="AN180" s="20"/>
      <c r="AO180" s="12"/>
    </row>
    <row r="181" spans="1:41">
      <c r="A181" s="1" t="s">
        <v>160</v>
      </c>
      <c r="B181" s="12" t="s">
        <v>232</v>
      </c>
      <c r="C181" s="1" t="s">
        <v>78</v>
      </c>
      <c r="D181" s="1" t="s">
        <v>42</v>
      </c>
      <c r="E181" s="1" t="s">
        <v>149</v>
      </c>
      <c r="F181" s="6">
        <v>45905</v>
      </c>
      <c r="G181" s="1" t="s">
        <v>32</v>
      </c>
      <c r="H181" s="12" t="s">
        <v>18</v>
      </c>
      <c r="I181" s="7" t="s">
        <v>8</v>
      </c>
      <c r="J181" s="2">
        <v>0.875</v>
      </c>
      <c r="K181" s="2" t="s">
        <v>5</v>
      </c>
      <c r="L181" s="2">
        <v>0.875</v>
      </c>
      <c r="M181" s="2">
        <v>0.80902777777777779</v>
      </c>
      <c r="N181" s="2">
        <v>0.125</v>
      </c>
      <c r="O181" s="2">
        <v>0.875</v>
      </c>
      <c r="P181" s="2">
        <v>0.95833333333333337</v>
      </c>
      <c r="Q181" s="2">
        <v>0.96875</v>
      </c>
      <c r="R181" s="2" t="s">
        <v>5</v>
      </c>
      <c r="S181" s="2">
        <v>0.93055555555555547</v>
      </c>
      <c r="T181" s="2">
        <v>0.20833333333333334</v>
      </c>
      <c r="U181" s="2">
        <v>0.20833333333333334</v>
      </c>
      <c r="V181" s="2">
        <v>0.19791666666666666</v>
      </c>
      <c r="W181" s="2">
        <v>0.95833333333333337</v>
      </c>
      <c r="X181" s="2">
        <v>0.95833333333333337</v>
      </c>
      <c r="Y181" s="2" t="s">
        <v>5</v>
      </c>
      <c r="Z181" s="2">
        <v>0.83333333333333337</v>
      </c>
      <c r="AA181" s="2">
        <v>0.18055555555555555</v>
      </c>
      <c r="AB181" s="2">
        <v>0.16666666666666666</v>
      </c>
      <c r="AC181" s="2">
        <v>0.125</v>
      </c>
      <c r="AD181" s="2">
        <v>0.15972222222222224</v>
      </c>
      <c r="AE181" s="2">
        <v>0.1875</v>
      </c>
      <c r="AF181" s="2" t="s">
        <v>5</v>
      </c>
      <c r="AG181" s="2">
        <v>7.2916666666666671E-2</v>
      </c>
      <c r="AH181" s="2">
        <v>1.03125</v>
      </c>
      <c r="AI181" s="54">
        <v>0.27916666666666667</v>
      </c>
      <c r="AJ181" s="2">
        <v>0.94236111111111109</v>
      </c>
      <c r="AK181" s="2">
        <v>6.5972222222222224E-2</v>
      </c>
      <c r="AL181" s="2">
        <v>0.22222222222222221</v>
      </c>
      <c r="AM181" s="2" t="s">
        <v>5</v>
      </c>
      <c r="AN181" s="20"/>
      <c r="AO181" s="12"/>
    </row>
    <row r="182" spans="1:41">
      <c r="A182" s="21" t="s">
        <v>160</v>
      </c>
      <c r="B182" s="21" t="s">
        <v>232</v>
      </c>
      <c r="C182" s="21" t="s">
        <v>78</v>
      </c>
      <c r="D182" s="21" t="s">
        <v>42</v>
      </c>
      <c r="E182" s="21" t="s">
        <v>149</v>
      </c>
      <c r="F182" s="22">
        <v>45905</v>
      </c>
      <c r="G182" s="21" t="s">
        <v>32</v>
      </c>
      <c r="H182" s="21" t="s">
        <v>18</v>
      </c>
      <c r="I182" s="25" t="s">
        <v>9</v>
      </c>
      <c r="J182" s="24">
        <f>IF(AND(ISBLANK(J180),ISBLANK(J181)),"A",IFERROR(+MOD(J181-J180,1),J179))</f>
        <v>0.5</v>
      </c>
      <c r="K182" s="24" t="s">
        <v>5</v>
      </c>
      <c r="L182" s="24">
        <f t="shared" ref="L182" si="717">IF(AND(ISBLANK(L180),ISBLANK(L181)),"A",IFERROR(+MOD(L181-L180,1),L179))</f>
        <v>0.5</v>
      </c>
      <c r="M182" s="24">
        <f t="shared" ref="M182" si="718">IF(AND(ISBLANK(M180),ISBLANK(M181)),"A",IFERROR(+MOD(M181-M180,1),M179))</f>
        <v>0.43402777777777779</v>
      </c>
      <c r="N182" s="24">
        <f t="shared" ref="N182" si="719">IF(AND(ISBLANK(N180),ISBLANK(N181)),"A",IFERROR(+MOD(N181-N180,1),N179))</f>
        <v>0.75</v>
      </c>
      <c r="O182" s="24">
        <f t="shared" ref="O182" si="720">IF(AND(ISBLANK(O180),ISBLANK(O181)),"A",IFERROR(+MOD(O181-O180,1),O179))</f>
        <v>0.4375</v>
      </c>
      <c r="P182" s="24">
        <f t="shared" ref="P182" si="721">IF(AND(ISBLANK(P180),ISBLANK(P181)),"A",IFERROR(+MOD(P181-P180,1),P179))</f>
        <v>0.58333333333333337</v>
      </c>
      <c r="Q182" s="24">
        <f t="shared" ref="Q182" si="722">IF(AND(ISBLANK(Q180),ISBLANK(Q181)),"A",IFERROR(+MOD(Q181-Q180,1),Q179))</f>
        <v>0.59375</v>
      </c>
      <c r="R182" s="24" t="s">
        <v>5</v>
      </c>
      <c r="S182" s="24">
        <f t="shared" ref="S182" si="723">IF(AND(ISBLANK(S180),ISBLANK(S181)),"A",IFERROR(+MOD(S181-S180,1),S179))</f>
        <v>0.55555555555555547</v>
      </c>
      <c r="T182" s="24">
        <f t="shared" ref="T182:U182" si="724">IF(AND(ISBLANK(T180),ISBLANK(T181)),"A",IFERROR(+MOD(T181-T180,1),T179))</f>
        <v>0.81944444444444442</v>
      </c>
      <c r="U182" s="24">
        <f t="shared" si="724"/>
        <v>0.58680555555555558</v>
      </c>
      <c r="V182" s="24">
        <f t="shared" ref="V182:W182" si="725">IF(AND(ISBLANK(V180),ISBLANK(V181)),"A",IFERROR(+MOD(V181-V180,1),V179))</f>
        <v>0.65625</v>
      </c>
      <c r="W182" s="24">
        <f t="shared" si="725"/>
        <v>0.39583333333333337</v>
      </c>
      <c r="X182" s="24">
        <f t="shared" ref="X182" si="726">IF(AND(ISBLANK(X180),ISBLANK(X181)),"A",IFERROR(+MOD(X181-X180,1),X179))</f>
        <v>0.54166666666666674</v>
      </c>
      <c r="Y182" s="24" t="s">
        <v>5</v>
      </c>
      <c r="Z182" s="24">
        <f t="shared" ref="Z182:AA182" si="727">IF(AND(ISBLANK(Z180),ISBLANK(Z181)),"A",IFERROR(+MOD(Z181-Z180,1),Z179))</f>
        <v>0.4548611111111111</v>
      </c>
      <c r="AA182" s="24">
        <f t="shared" si="727"/>
        <v>0.54513888888888895</v>
      </c>
      <c r="AB182" s="24">
        <f t="shared" ref="AB182" si="728">IF(AND(ISBLANK(AB180),ISBLANK(AB181)),"A",IFERROR(+MOD(AB181-AB180,1),AB179))</f>
        <v>0.58333333333333326</v>
      </c>
      <c r="AC182" s="24">
        <f t="shared" ref="AC182" si="729">IF(AND(ISBLANK(AC180),ISBLANK(AC181)),"A",IFERROR(+MOD(AC181-AC180,1),AC179))</f>
        <v>0.54166666666666663</v>
      </c>
      <c r="AD182" s="24">
        <f t="shared" ref="AD182" si="730">IF(AND(ISBLANK(AD180),ISBLANK(AD181)),"A",IFERROR(+MOD(AD181-AD180,1),AD179))</f>
        <v>0.50347222222222221</v>
      </c>
      <c r="AE182" s="24">
        <f t="shared" ref="AE182" si="731">IF(AND(ISBLANK(AE180),ISBLANK(AE181)),"A",IFERROR(+MOD(AE181-AE180,1),AE179))</f>
        <v>0.54166666666666663</v>
      </c>
      <c r="AF182" s="24" t="s">
        <v>5</v>
      </c>
      <c r="AG182" s="24">
        <f t="shared" ref="AG182" si="732">IF(AND(ISBLANK(AG180),ISBLANK(AG181)),"A",IFERROR(+MOD(AG181-AG180,1),AG179))</f>
        <v>0.67013888888888895</v>
      </c>
      <c r="AH182" s="24">
        <f t="shared" ref="AH182" si="733">IF(AND(ISBLANK(AH180),ISBLANK(AH181)),"A",IFERROR(+MOD(AH181-AH180,1),AH179))</f>
        <v>0.60763888888888884</v>
      </c>
      <c r="AI182" s="24">
        <f t="shared" ref="AI182" si="734">IF(AND(ISBLANK(AI180),ISBLANK(AI181)),"A",IFERROR(+MOD(AI181-AI180,1),AI179))</f>
        <v>0.87986111111111109</v>
      </c>
      <c r="AJ182" s="24">
        <f t="shared" ref="AJ182" si="735">IF(AND(ISBLANK(AJ180),ISBLANK(AJ181)),"A",IFERROR(+MOD(AJ181-AJ180,1),AJ179))</f>
        <v>0.5395833333333333</v>
      </c>
      <c r="AK182" s="24">
        <f t="shared" ref="AK182" si="736">IF(AND(ISBLANK(AK180),ISBLANK(AK181)),"A",IFERROR(+MOD(AK181-AK180,1),AK179))</f>
        <v>0.65625</v>
      </c>
      <c r="AL182" s="24">
        <f t="shared" ref="AL182" si="737">IF(AND(ISBLANK(AL180),ISBLANK(AL181)),"A",IFERROR(+MOD(AL181-AL180,1),AL179))</f>
        <v>0.81597222222222221</v>
      </c>
      <c r="AM182" s="24" t="s">
        <v>5</v>
      </c>
      <c r="AN182" s="17">
        <f>COUNT(F182:AM182)</f>
        <v>26</v>
      </c>
      <c r="AO182" s="21"/>
    </row>
    <row r="183" spans="1:41">
      <c r="A183" s="8" t="s">
        <v>161</v>
      </c>
      <c r="B183" s="12" t="s">
        <v>231</v>
      </c>
      <c r="C183" s="8" t="s">
        <v>79</v>
      </c>
      <c r="D183" s="8" t="s">
        <v>42</v>
      </c>
      <c r="E183" s="8" t="s">
        <v>31</v>
      </c>
      <c r="F183" s="11">
        <v>45905</v>
      </c>
      <c r="G183" s="8" t="s">
        <v>32</v>
      </c>
      <c r="H183" s="12" t="s">
        <v>18</v>
      </c>
      <c r="I183" s="14" t="s">
        <v>4</v>
      </c>
      <c r="J183" s="2" t="s">
        <v>6</v>
      </c>
      <c r="K183" s="2" t="s">
        <v>5</v>
      </c>
      <c r="L183" s="2" t="s">
        <v>5</v>
      </c>
      <c r="M183" s="2" t="s">
        <v>6</v>
      </c>
      <c r="N183" s="2" t="s">
        <v>5</v>
      </c>
      <c r="O183" s="2" t="s">
        <v>6</v>
      </c>
      <c r="P183" s="2" t="s">
        <v>6</v>
      </c>
      <c r="Q183" s="2" t="s">
        <v>6</v>
      </c>
      <c r="R183" s="2" t="s">
        <v>5</v>
      </c>
      <c r="S183" s="2" t="s">
        <v>6</v>
      </c>
      <c r="T183" s="2" t="s">
        <v>6</v>
      </c>
      <c r="U183" s="2" t="s">
        <v>6</v>
      </c>
      <c r="V183" s="2" t="s">
        <v>6</v>
      </c>
      <c r="W183" s="2" t="s">
        <v>6</v>
      </c>
      <c r="X183" s="2" t="s">
        <v>6</v>
      </c>
      <c r="Y183" s="2" t="s">
        <v>5</v>
      </c>
      <c r="Z183" s="2" t="s">
        <v>6</v>
      </c>
      <c r="AA183" s="2" t="s">
        <v>5</v>
      </c>
      <c r="AB183" s="2" t="s">
        <v>6</v>
      </c>
      <c r="AC183" s="2" t="s">
        <v>6</v>
      </c>
      <c r="AD183" s="2" t="s">
        <v>6</v>
      </c>
      <c r="AE183" s="2" t="s">
        <v>6</v>
      </c>
      <c r="AF183" s="2" t="s">
        <v>5</v>
      </c>
      <c r="AG183" s="2" t="s">
        <v>6</v>
      </c>
      <c r="AH183" s="2" t="s">
        <v>5</v>
      </c>
      <c r="AI183" s="2" t="s">
        <v>5</v>
      </c>
      <c r="AJ183" s="2" t="s">
        <v>5</v>
      </c>
      <c r="AK183" s="2" t="s">
        <v>5</v>
      </c>
      <c r="AL183" s="2" t="s">
        <v>5</v>
      </c>
      <c r="AM183" s="2" t="s">
        <v>5</v>
      </c>
      <c r="AN183" s="20"/>
      <c r="AO183" s="12" t="s">
        <v>18</v>
      </c>
    </row>
    <row r="184" spans="1:41">
      <c r="A184" s="1" t="s">
        <v>161</v>
      </c>
      <c r="B184" s="12" t="s">
        <v>231</v>
      </c>
      <c r="C184" s="3" t="s">
        <v>79</v>
      </c>
      <c r="D184" s="3" t="s">
        <v>42</v>
      </c>
      <c r="E184" s="3" t="s">
        <v>31</v>
      </c>
      <c r="F184" s="6">
        <v>45905</v>
      </c>
      <c r="G184" s="5" t="s">
        <v>32</v>
      </c>
      <c r="H184" s="12" t="s">
        <v>18</v>
      </c>
      <c r="I184" s="7" t="s">
        <v>7</v>
      </c>
      <c r="J184" s="2">
        <v>0.375</v>
      </c>
      <c r="K184" s="2" t="s">
        <v>5</v>
      </c>
      <c r="L184" s="2" t="s">
        <v>5</v>
      </c>
      <c r="M184" s="2">
        <v>0.375</v>
      </c>
      <c r="N184" s="2" t="s">
        <v>5</v>
      </c>
      <c r="O184" s="2">
        <v>0.375</v>
      </c>
      <c r="P184" s="2">
        <v>0.375</v>
      </c>
      <c r="Q184" s="2">
        <v>0.375</v>
      </c>
      <c r="R184" s="2" t="s">
        <v>5</v>
      </c>
      <c r="S184" s="2">
        <v>0.375</v>
      </c>
      <c r="T184" s="2">
        <v>0.41666666666666669</v>
      </c>
      <c r="U184" s="2">
        <v>0.41666666666666669</v>
      </c>
      <c r="V184" s="2">
        <v>0.375</v>
      </c>
      <c r="W184" s="2">
        <v>0.375</v>
      </c>
      <c r="X184" s="2">
        <v>0.4236111111111111</v>
      </c>
      <c r="Y184" s="2" t="s">
        <v>5</v>
      </c>
      <c r="Z184" s="2">
        <v>0.40625</v>
      </c>
      <c r="AA184" s="2" t="s">
        <v>5</v>
      </c>
      <c r="AB184" s="2">
        <v>0.38194444444444442</v>
      </c>
      <c r="AC184" s="2">
        <v>0.375</v>
      </c>
      <c r="AD184" s="2">
        <v>0.375</v>
      </c>
      <c r="AE184" s="2">
        <v>0.39583333333333331</v>
      </c>
      <c r="AF184" s="2" t="s">
        <v>5</v>
      </c>
      <c r="AG184" s="2">
        <v>0.41666666666666669</v>
      </c>
      <c r="AH184" s="2" t="s">
        <v>5</v>
      </c>
      <c r="AI184" s="2" t="s">
        <v>5</v>
      </c>
      <c r="AJ184" s="2" t="s">
        <v>5</v>
      </c>
      <c r="AK184" s="2" t="s">
        <v>5</v>
      </c>
      <c r="AL184" s="2" t="s">
        <v>5</v>
      </c>
      <c r="AM184" s="2" t="s">
        <v>5</v>
      </c>
      <c r="AN184" s="20"/>
      <c r="AO184" s="12"/>
    </row>
    <row r="185" spans="1:41">
      <c r="A185" s="1" t="s">
        <v>161</v>
      </c>
      <c r="B185" s="12" t="s">
        <v>231</v>
      </c>
      <c r="C185" s="1" t="s">
        <v>79</v>
      </c>
      <c r="D185" s="1" t="s">
        <v>42</v>
      </c>
      <c r="E185" s="1" t="s">
        <v>31</v>
      </c>
      <c r="F185" s="6">
        <v>45905</v>
      </c>
      <c r="G185" s="1" t="s">
        <v>32</v>
      </c>
      <c r="H185" s="12" t="s">
        <v>18</v>
      </c>
      <c r="I185" s="7" t="s">
        <v>8</v>
      </c>
      <c r="J185" s="2">
        <v>4.1666666666666664E-2</v>
      </c>
      <c r="K185" s="2" t="s">
        <v>5</v>
      </c>
      <c r="L185" s="2" t="s">
        <v>5</v>
      </c>
      <c r="M185" s="2">
        <v>0.95833333333333337</v>
      </c>
      <c r="N185" s="2" t="s">
        <v>5</v>
      </c>
      <c r="O185" s="2">
        <v>4.1666666666666664E-2</v>
      </c>
      <c r="P185" s="2">
        <v>0.75</v>
      </c>
      <c r="Q185" s="2">
        <v>0.16666666666666666</v>
      </c>
      <c r="R185" s="2" t="s">
        <v>5</v>
      </c>
      <c r="S185" s="2">
        <v>0.93055555555555547</v>
      </c>
      <c r="T185" s="2">
        <v>5.2083333333333336E-2</v>
      </c>
      <c r="U185" s="2">
        <v>0.68055555555555547</v>
      </c>
      <c r="V185" s="2">
        <v>0.75</v>
      </c>
      <c r="W185" s="2">
        <v>1.0069444444444444</v>
      </c>
      <c r="X185" s="2">
        <v>0.20833333333333334</v>
      </c>
      <c r="Y185" s="2" t="s">
        <v>5</v>
      </c>
      <c r="Z185" s="2">
        <v>0.79166666666666663</v>
      </c>
      <c r="AA185" s="2" t="s">
        <v>5</v>
      </c>
      <c r="AB185" s="2">
        <v>0.91666666666666663</v>
      </c>
      <c r="AC185" s="2">
        <v>0.95833333333333337</v>
      </c>
      <c r="AD185" s="2">
        <v>0.5</v>
      </c>
      <c r="AE185" s="2">
        <v>0.20833333333333334</v>
      </c>
      <c r="AF185" s="2" t="s">
        <v>5</v>
      </c>
      <c r="AG185" s="2">
        <v>4.8611111111111112E-2</v>
      </c>
      <c r="AH185" s="2" t="s">
        <v>5</v>
      </c>
      <c r="AI185" s="2" t="s">
        <v>5</v>
      </c>
      <c r="AJ185" s="2" t="s">
        <v>5</v>
      </c>
      <c r="AK185" s="2" t="s">
        <v>5</v>
      </c>
      <c r="AL185" s="2" t="s">
        <v>5</v>
      </c>
      <c r="AM185" s="2" t="s">
        <v>5</v>
      </c>
      <c r="AN185" s="20"/>
      <c r="AO185" s="12"/>
    </row>
    <row r="186" spans="1:41">
      <c r="A186" s="21" t="s">
        <v>161</v>
      </c>
      <c r="B186" s="21" t="s">
        <v>231</v>
      </c>
      <c r="C186" s="21" t="s">
        <v>79</v>
      </c>
      <c r="D186" s="21" t="s">
        <v>42</v>
      </c>
      <c r="E186" s="21" t="s">
        <v>31</v>
      </c>
      <c r="F186" s="22">
        <v>45905</v>
      </c>
      <c r="G186" s="21" t="s">
        <v>32</v>
      </c>
      <c r="H186" s="21" t="s">
        <v>18</v>
      </c>
      <c r="I186" s="25" t="s">
        <v>9</v>
      </c>
      <c r="J186" s="24">
        <f>IF(AND(ISBLANK(J184),ISBLANK(J185)),"A",IFERROR(+MOD(J185-J184,1),J183))</f>
        <v>0.66666666666666674</v>
      </c>
      <c r="K186" s="24" t="s">
        <v>5</v>
      </c>
      <c r="L186" s="24" t="s">
        <v>5</v>
      </c>
      <c r="M186" s="24">
        <f t="shared" ref="M186" si="738">IF(AND(ISBLANK(M184),ISBLANK(M185)),"A",IFERROR(+MOD(M185-M184,1),M183))</f>
        <v>0.58333333333333337</v>
      </c>
      <c r="N186" s="24" t="s">
        <v>5</v>
      </c>
      <c r="O186" s="24">
        <f t="shared" ref="O186" si="739">IF(AND(ISBLANK(O184),ISBLANK(O185)),"A",IFERROR(+MOD(O185-O184,1),O183))</f>
        <v>0.66666666666666674</v>
      </c>
      <c r="P186" s="24">
        <f t="shared" ref="P186" si="740">IF(AND(ISBLANK(P184),ISBLANK(P185)),"A",IFERROR(+MOD(P185-P184,1),P183))</f>
        <v>0.375</v>
      </c>
      <c r="Q186" s="24">
        <f t="shared" ref="Q186" si="741">IF(AND(ISBLANK(Q184),ISBLANK(Q185)),"A",IFERROR(+MOD(Q185-Q184,1),Q183))</f>
        <v>0.79166666666666663</v>
      </c>
      <c r="R186" s="24" t="s">
        <v>5</v>
      </c>
      <c r="S186" s="24">
        <f t="shared" ref="S186" si="742">IF(AND(ISBLANK(S184),ISBLANK(S185)),"A",IFERROR(+MOD(S185-S184,1),S183))</f>
        <v>0.55555555555555547</v>
      </c>
      <c r="T186" s="24">
        <f t="shared" ref="T186" si="743">IF(AND(ISBLANK(T184),ISBLANK(T185)),"A",IFERROR(+MOD(T185-T184,1),T183))</f>
        <v>0.63541666666666663</v>
      </c>
      <c r="U186" s="24">
        <f t="shared" ref="U186" si="744">IF(AND(ISBLANK(U184),ISBLANK(U185)),"A",IFERROR(+MOD(U185-U184,1),U183))</f>
        <v>0.26388888888888878</v>
      </c>
      <c r="V186" s="24">
        <f t="shared" ref="V186" si="745">IF(AND(ISBLANK(V184),ISBLANK(V185)),"A",IFERROR(+MOD(V185-V184,1),V183))</f>
        <v>0.375</v>
      </c>
      <c r="W186" s="24">
        <f t="shared" ref="W186" si="746">IF(AND(ISBLANK(W184),ISBLANK(W185)),"A",IFERROR(+MOD(W185-W184,1),W183))</f>
        <v>0.63194444444444442</v>
      </c>
      <c r="X186" s="24">
        <f t="shared" ref="X186" si="747">IF(AND(ISBLANK(X184),ISBLANK(X185)),"A",IFERROR(+MOD(X185-X184,1),X183))</f>
        <v>0.78472222222222221</v>
      </c>
      <c r="Y186" s="24" t="s">
        <v>5</v>
      </c>
      <c r="Z186" s="24">
        <f t="shared" ref="Z186" si="748">IF(AND(ISBLANK(Z184),ISBLANK(Z185)),"A",IFERROR(+MOD(Z185-Z184,1),Z183))</f>
        <v>0.38541666666666663</v>
      </c>
      <c r="AA186" s="24" t="s">
        <v>5</v>
      </c>
      <c r="AB186" s="24">
        <f t="shared" ref="AB186" si="749">IF(AND(ISBLANK(AB184),ISBLANK(AB185)),"A",IFERROR(+MOD(AB185-AB184,1),AB183))</f>
        <v>0.53472222222222221</v>
      </c>
      <c r="AC186" s="24">
        <f t="shared" ref="AC186" si="750">IF(AND(ISBLANK(AC184),ISBLANK(AC185)),"A",IFERROR(+MOD(AC185-AC184,1),AC183))</f>
        <v>0.58333333333333337</v>
      </c>
      <c r="AD186" s="24">
        <f t="shared" ref="AD186" si="751">IF(AND(ISBLANK(AD184),ISBLANK(AD185)),"A",IFERROR(+MOD(AD185-AD184,1),AD183))</f>
        <v>0.125</v>
      </c>
      <c r="AE186" s="24">
        <f t="shared" ref="AE186" si="752">IF(AND(ISBLANK(AE184),ISBLANK(AE185)),"A",IFERROR(+MOD(AE185-AE184,1),AE183))</f>
        <v>0.8125</v>
      </c>
      <c r="AF186" s="24" t="s">
        <v>5</v>
      </c>
      <c r="AG186" s="24">
        <f t="shared" ref="AG186" si="753">IF(AND(ISBLANK(AG184),ISBLANK(AG185)),"A",IFERROR(+MOD(AG185-AG184,1),AG183))</f>
        <v>0.63194444444444442</v>
      </c>
      <c r="AH186" s="24" t="s">
        <v>5</v>
      </c>
      <c r="AI186" s="24" t="s">
        <v>5</v>
      </c>
      <c r="AJ186" s="24" t="s">
        <v>5</v>
      </c>
      <c r="AK186" s="24" t="s">
        <v>5</v>
      </c>
      <c r="AL186" s="24" t="s">
        <v>5</v>
      </c>
      <c r="AM186" s="24" t="s">
        <v>5</v>
      </c>
      <c r="AN186" s="17">
        <f>COUNT(F186:AM186)</f>
        <v>18</v>
      </c>
      <c r="AO186" s="21"/>
    </row>
    <row r="187" spans="1:41">
      <c r="A187" s="8" t="s">
        <v>162</v>
      </c>
      <c r="B187" s="12" t="s">
        <v>231</v>
      </c>
      <c r="C187" s="8" t="s">
        <v>80</v>
      </c>
      <c r="D187" s="8" t="s">
        <v>41</v>
      </c>
      <c r="E187" s="8" t="s">
        <v>81</v>
      </c>
      <c r="F187" s="11">
        <v>45905</v>
      </c>
      <c r="G187" s="8" t="s">
        <v>32</v>
      </c>
      <c r="H187" s="12" t="s">
        <v>18</v>
      </c>
      <c r="I187" s="14" t="s">
        <v>4</v>
      </c>
      <c r="J187" s="2" t="s">
        <v>6</v>
      </c>
      <c r="K187" s="2" t="s">
        <v>5</v>
      </c>
      <c r="L187" s="2" t="s">
        <v>5</v>
      </c>
      <c r="M187" s="2" t="s">
        <v>6</v>
      </c>
      <c r="N187" s="2" t="s">
        <v>5</v>
      </c>
      <c r="O187" s="2" t="s">
        <v>6</v>
      </c>
      <c r="P187" s="2" t="s">
        <v>5</v>
      </c>
      <c r="Q187" s="2" t="s">
        <v>6</v>
      </c>
      <c r="R187" s="2" t="s">
        <v>5</v>
      </c>
      <c r="S187" s="2" t="s">
        <v>6</v>
      </c>
      <c r="T187" s="2" t="s">
        <v>6</v>
      </c>
      <c r="U187" s="2" t="s">
        <v>6</v>
      </c>
      <c r="V187" s="2" t="s">
        <v>6</v>
      </c>
      <c r="W187" s="2" t="s">
        <v>6</v>
      </c>
      <c r="X187" s="2" t="s">
        <v>6</v>
      </c>
      <c r="Y187" s="2" t="s">
        <v>5</v>
      </c>
      <c r="Z187" s="2" t="s">
        <v>6</v>
      </c>
      <c r="AA187" s="2" t="s">
        <v>5</v>
      </c>
      <c r="AB187" s="2" t="s">
        <v>5</v>
      </c>
      <c r="AC187" s="2" t="s">
        <v>5</v>
      </c>
      <c r="AD187" s="2" t="s">
        <v>5</v>
      </c>
      <c r="AE187" s="2" t="s">
        <v>5</v>
      </c>
      <c r="AF187" s="2" t="s">
        <v>5</v>
      </c>
      <c r="AG187" s="2" t="s">
        <v>5</v>
      </c>
      <c r="AH187" s="2" t="s">
        <v>5</v>
      </c>
      <c r="AI187" s="2" t="s">
        <v>5</v>
      </c>
      <c r="AJ187" s="2" t="s">
        <v>5</v>
      </c>
      <c r="AK187" s="2" t="s">
        <v>5</v>
      </c>
      <c r="AL187" s="2" t="s">
        <v>5</v>
      </c>
      <c r="AM187" s="2" t="s">
        <v>5</v>
      </c>
      <c r="AN187" s="20"/>
      <c r="AO187" s="12" t="s">
        <v>18</v>
      </c>
    </row>
    <row r="188" spans="1:41">
      <c r="A188" s="1" t="s">
        <v>162</v>
      </c>
      <c r="B188" s="12" t="s">
        <v>231</v>
      </c>
      <c r="C188" s="3" t="s">
        <v>80</v>
      </c>
      <c r="D188" s="8" t="s">
        <v>41</v>
      </c>
      <c r="E188" s="3" t="s">
        <v>81</v>
      </c>
      <c r="F188" s="6">
        <v>45905</v>
      </c>
      <c r="G188" s="5" t="s">
        <v>32</v>
      </c>
      <c r="H188" s="12" t="s">
        <v>18</v>
      </c>
      <c r="I188" s="7" t="s">
        <v>7</v>
      </c>
      <c r="J188" s="2">
        <v>0.375</v>
      </c>
      <c r="K188" s="2" t="s">
        <v>5</v>
      </c>
      <c r="L188" s="2" t="s">
        <v>5</v>
      </c>
      <c r="M188" s="2">
        <v>0.375</v>
      </c>
      <c r="N188" s="2" t="s">
        <v>5</v>
      </c>
      <c r="O188" s="2">
        <v>0.375</v>
      </c>
      <c r="P188" s="2" t="s">
        <v>5</v>
      </c>
      <c r="Q188" s="2">
        <v>0.375</v>
      </c>
      <c r="R188" s="2" t="s">
        <v>5</v>
      </c>
      <c r="S188" s="2">
        <v>0.40277777777777773</v>
      </c>
      <c r="T188" s="2">
        <v>0.41666666666666669</v>
      </c>
      <c r="U188" s="2">
        <v>0.41666666666666669</v>
      </c>
      <c r="V188" s="2">
        <v>0.375</v>
      </c>
      <c r="W188" s="2">
        <v>0.375</v>
      </c>
      <c r="X188" s="2">
        <v>0.4236111111111111</v>
      </c>
      <c r="Y188" s="2" t="s">
        <v>5</v>
      </c>
      <c r="Z188" s="2">
        <v>0.40625</v>
      </c>
      <c r="AA188" s="2" t="s">
        <v>5</v>
      </c>
      <c r="AB188" s="2" t="s">
        <v>5</v>
      </c>
      <c r="AC188" s="2" t="s">
        <v>5</v>
      </c>
      <c r="AD188" s="2" t="s">
        <v>5</v>
      </c>
      <c r="AE188" s="2" t="s">
        <v>5</v>
      </c>
      <c r="AF188" s="2" t="s">
        <v>5</v>
      </c>
      <c r="AG188" s="2" t="s">
        <v>5</v>
      </c>
      <c r="AH188" s="2" t="s">
        <v>5</v>
      </c>
      <c r="AI188" s="2" t="s">
        <v>5</v>
      </c>
      <c r="AJ188" s="2" t="s">
        <v>5</v>
      </c>
      <c r="AK188" s="2" t="s">
        <v>5</v>
      </c>
      <c r="AL188" s="2" t="s">
        <v>5</v>
      </c>
      <c r="AM188" s="2" t="s">
        <v>5</v>
      </c>
      <c r="AN188" s="20"/>
      <c r="AO188" s="12"/>
    </row>
    <row r="189" spans="1:41">
      <c r="A189" s="1" t="s">
        <v>162</v>
      </c>
      <c r="B189" s="12" t="s">
        <v>231</v>
      </c>
      <c r="C189" s="1" t="s">
        <v>80</v>
      </c>
      <c r="D189" s="8" t="s">
        <v>41</v>
      </c>
      <c r="E189" s="1" t="s">
        <v>81</v>
      </c>
      <c r="F189" s="6">
        <v>45905</v>
      </c>
      <c r="G189" s="1" t="s">
        <v>32</v>
      </c>
      <c r="H189" s="12" t="s">
        <v>18</v>
      </c>
      <c r="I189" s="7" t="s">
        <v>8</v>
      </c>
      <c r="J189" s="2">
        <v>4.1666666666666664E-2</v>
      </c>
      <c r="K189" s="2" t="s">
        <v>5</v>
      </c>
      <c r="L189" s="2" t="s">
        <v>5</v>
      </c>
      <c r="M189" s="2">
        <v>0.95833333333333337</v>
      </c>
      <c r="N189" s="2" t="s">
        <v>5</v>
      </c>
      <c r="O189" s="2">
        <v>0.75</v>
      </c>
      <c r="P189" s="2" t="s">
        <v>5</v>
      </c>
      <c r="Q189" s="2">
        <v>0.16666666666666666</v>
      </c>
      <c r="R189" s="2" t="s">
        <v>5</v>
      </c>
      <c r="S189" s="2">
        <v>0.93055555555555547</v>
      </c>
      <c r="T189" s="2">
        <v>5.2083333333333336E-2</v>
      </c>
      <c r="U189" s="2">
        <v>0.66666666666666663</v>
      </c>
      <c r="V189" s="2">
        <v>0.75</v>
      </c>
      <c r="W189" s="2">
        <v>1.0034722222222221</v>
      </c>
      <c r="X189" s="2">
        <v>0.20833333333333334</v>
      </c>
      <c r="Y189" s="2" t="s">
        <v>5</v>
      </c>
      <c r="Z189" s="2">
        <v>0.79166666666666663</v>
      </c>
      <c r="AA189" s="2" t="s">
        <v>5</v>
      </c>
      <c r="AB189" s="2" t="s">
        <v>5</v>
      </c>
      <c r="AC189" s="2" t="s">
        <v>5</v>
      </c>
      <c r="AD189" s="2" t="s">
        <v>5</v>
      </c>
      <c r="AE189" s="2" t="s">
        <v>5</v>
      </c>
      <c r="AF189" s="2" t="s">
        <v>5</v>
      </c>
      <c r="AG189" s="2" t="s">
        <v>5</v>
      </c>
      <c r="AH189" s="2" t="s">
        <v>5</v>
      </c>
      <c r="AI189" s="2" t="s">
        <v>5</v>
      </c>
      <c r="AJ189" s="2" t="s">
        <v>5</v>
      </c>
      <c r="AK189" s="2" t="s">
        <v>5</v>
      </c>
      <c r="AL189" s="2" t="s">
        <v>5</v>
      </c>
      <c r="AM189" s="2" t="s">
        <v>5</v>
      </c>
      <c r="AN189" s="20"/>
      <c r="AO189" s="12"/>
    </row>
    <row r="190" spans="1:41">
      <c r="A190" s="21" t="s">
        <v>162</v>
      </c>
      <c r="B190" s="21" t="s">
        <v>231</v>
      </c>
      <c r="C190" s="21" t="s">
        <v>80</v>
      </c>
      <c r="D190" s="21" t="s">
        <v>41</v>
      </c>
      <c r="E190" s="21" t="s">
        <v>81</v>
      </c>
      <c r="F190" s="22">
        <v>45905</v>
      </c>
      <c r="G190" s="21" t="s">
        <v>32</v>
      </c>
      <c r="H190" s="21" t="s">
        <v>18</v>
      </c>
      <c r="I190" s="25" t="s">
        <v>9</v>
      </c>
      <c r="J190" s="24">
        <f>IF(AND(ISBLANK(J188),ISBLANK(J189)),"A",IFERROR(+MOD(J189-J188,1),J187))</f>
        <v>0.66666666666666674</v>
      </c>
      <c r="K190" s="24" t="str">
        <f t="shared" ref="K190" si="754">IF(AND(ISBLANK(K188),ISBLANK(K189)),"A",IFERROR(+MOD(K189-K188,1),K187))</f>
        <v>A</v>
      </c>
      <c r="L190" s="24" t="str">
        <f t="shared" ref="L190:M190" si="755">IF(AND(ISBLANK(L188),ISBLANK(L189)),"A",IFERROR(+MOD(L189-L188,1),L187))</f>
        <v>A</v>
      </c>
      <c r="M190" s="24">
        <f t="shared" si="755"/>
        <v>0.58333333333333337</v>
      </c>
      <c r="N190" s="24" t="s">
        <v>5</v>
      </c>
      <c r="O190" s="24">
        <f t="shared" ref="O190" si="756">IF(AND(ISBLANK(O188),ISBLANK(O189)),"A",IFERROR(+MOD(O189-O188,1),O187))</f>
        <v>0.375</v>
      </c>
      <c r="P190" s="24" t="s">
        <v>5</v>
      </c>
      <c r="Q190" s="24">
        <f t="shared" ref="Q190" si="757">IF(AND(ISBLANK(Q188),ISBLANK(Q189)),"A",IFERROR(+MOD(Q189-Q188,1),Q187))</f>
        <v>0.79166666666666663</v>
      </c>
      <c r="R190" s="24" t="s">
        <v>5</v>
      </c>
      <c r="S190" s="24">
        <f t="shared" ref="S190" si="758">IF(AND(ISBLANK(S188),ISBLANK(S189)),"A",IFERROR(+MOD(S189-S188,1),S187))</f>
        <v>0.52777777777777768</v>
      </c>
      <c r="T190" s="24">
        <f t="shared" ref="T190" si="759">IF(AND(ISBLANK(T188),ISBLANK(T189)),"A",IFERROR(+MOD(T189-T188,1),T187))</f>
        <v>0.63541666666666663</v>
      </c>
      <c r="U190" s="24">
        <f t="shared" ref="U190" si="760">IF(AND(ISBLANK(U188),ISBLANK(U189)),"A",IFERROR(+MOD(U189-U188,1),U187))</f>
        <v>0.24999999999999994</v>
      </c>
      <c r="V190" s="24">
        <f t="shared" ref="V190" si="761">IF(AND(ISBLANK(V188),ISBLANK(V189)),"A",IFERROR(+MOD(V189-V188,1),V187))</f>
        <v>0.375</v>
      </c>
      <c r="W190" s="24">
        <f t="shared" ref="W190:X190" si="762">IF(AND(ISBLANK(W188),ISBLANK(W189)),"A",IFERROR(+MOD(W189-W188,1),W187))</f>
        <v>0.6284722222222221</v>
      </c>
      <c r="X190" s="24">
        <f t="shared" si="762"/>
        <v>0.78472222222222221</v>
      </c>
      <c r="Y190" s="24" t="s">
        <v>5</v>
      </c>
      <c r="Z190" s="24">
        <f t="shared" ref="Z190" si="763">IF(AND(ISBLANK(Z188),ISBLANK(Z189)),"A",IFERROR(+MOD(Z189-Z188,1),Z187))</f>
        <v>0.38541666666666663</v>
      </c>
      <c r="AA190" s="24" t="s">
        <v>5</v>
      </c>
      <c r="AB190" s="24" t="s">
        <v>5</v>
      </c>
      <c r="AC190" s="24" t="s">
        <v>5</v>
      </c>
      <c r="AD190" s="24" t="s">
        <v>5</v>
      </c>
      <c r="AE190" s="24" t="s">
        <v>5</v>
      </c>
      <c r="AF190" s="24" t="s">
        <v>5</v>
      </c>
      <c r="AG190" s="24" t="s">
        <v>5</v>
      </c>
      <c r="AH190" s="24" t="s">
        <v>5</v>
      </c>
      <c r="AI190" s="24" t="s">
        <v>5</v>
      </c>
      <c r="AJ190" s="24" t="s">
        <v>5</v>
      </c>
      <c r="AK190" s="24" t="s">
        <v>5</v>
      </c>
      <c r="AL190" s="24" t="s">
        <v>5</v>
      </c>
      <c r="AM190" s="24" t="s">
        <v>5</v>
      </c>
      <c r="AN190" s="17">
        <f>COUNT(F190:AM190)</f>
        <v>12</v>
      </c>
      <c r="AO190" s="21"/>
    </row>
    <row r="191" spans="1:41">
      <c r="A191" s="8" t="s">
        <v>163</v>
      </c>
      <c r="B191" s="12" t="s">
        <v>237</v>
      </c>
      <c r="C191" s="8" t="s">
        <v>26</v>
      </c>
      <c r="D191" s="8" t="s">
        <v>157</v>
      </c>
      <c r="E191" s="8" t="s">
        <v>82</v>
      </c>
      <c r="F191" s="11">
        <v>45905</v>
      </c>
      <c r="G191" s="8" t="s">
        <v>32</v>
      </c>
      <c r="H191" s="12" t="s">
        <v>18</v>
      </c>
      <c r="I191" s="14" t="s">
        <v>4</v>
      </c>
      <c r="J191" s="2" t="s">
        <v>6</v>
      </c>
      <c r="K191" s="2" t="s">
        <v>5</v>
      </c>
      <c r="L191" s="2" t="s">
        <v>6</v>
      </c>
      <c r="M191" s="2" t="s">
        <v>6</v>
      </c>
      <c r="N191" s="2" t="s">
        <v>6</v>
      </c>
      <c r="O191" s="2" t="s">
        <v>6</v>
      </c>
      <c r="P191" s="2" t="s">
        <v>5</v>
      </c>
      <c r="Q191" s="2" t="s">
        <v>6</v>
      </c>
      <c r="R191" s="2" t="s">
        <v>5</v>
      </c>
      <c r="S191" s="2" t="s">
        <v>6</v>
      </c>
      <c r="T191" s="2" t="s">
        <v>6</v>
      </c>
      <c r="U191" s="2" t="s">
        <v>6</v>
      </c>
      <c r="V191" s="2" t="s">
        <v>6</v>
      </c>
      <c r="W191" s="2" t="s">
        <v>5</v>
      </c>
      <c r="X191" s="2" t="s">
        <v>5</v>
      </c>
      <c r="Y191" s="2" t="s">
        <v>5</v>
      </c>
      <c r="Z191" s="2" t="s">
        <v>6</v>
      </c>
      <c r="AA191" s="2" t="s">
        <v>6</v>
      </c>
      <c r="AB191" s="2" t="s">
        <v>6</v>
      </c>
      <c r="AC191" s="2" t="s">
        <v>6</v>
      </c>
      <c r="AD191" s="2" t="s">
        <v>6</v>
      </c>
      <c r="AE191" s="2" t="s">
        <v>6</v>
      </c>
      <c r="AF191" s="2" t="s">
        <v>5</v>
      </c>
      <c r="AG191" s="2" t="s">
        <v>6</v>
      </c>
      <c r="AH191" s="2" t="s">
        <v>6</v>
      </c>
      <c r="AI191" s="2" t="s">
        <v>6</v>
      </c>
      <c r="AJ191" s="2" t="s">
        <v>6</v>
      </c>
      <c r="AK191" s="2" t="s">
        <v>5</v>
      </c>
      <c r="AL191" s="2" t="s">
        <v>6</v>
      </c>
      <c r="AM191" s="2" t="s">
        <v>5</v>
      </c>
      <c r="AN191" s="20"/>
      <c r="AO191" s="12" t="s">
        <v>18</v>
      </c>
    </row>
    <row r="192" spans="1:41">
      <c r="A192" s="1" t="s">
        <v>163</v>
      </c>
      <c r="B192" s="12" t="s">
        <v>237</v>
      </c>
      <c r="C192" s="3" t="s">
        <v>26</v>
      </c>
      <c r="D192" s="3" t="s">
        <v>157</v>
      </c>
      <c r="E192" s="3" t="s">
        <v>82</v>
      </c>
      <c r="F192" s="6">
        <v>45905</v>
      </c>
      <c r="G192" s="5" t="s">
        <v>32</v>
      </c>
      <c r="H192" s="12" t="s">
        <v>18</v>
      </c>
      <c r="I192" s="7" t="s">
        <v>7</v>
      </c>
      <c r="J192" s="2">
        <v>0.45833333333333331</v>
      </c>
      <c r="K192" s="2" t="s">
        <v>5</v>
      </c>
      <c r="L192" s="2">
        <v>0.45833333333333331</v>
      </c>
      <c r="M192" s="2">
        <v>0.45833333333333331</v>
      </c>
      <c r="N192" s="2">
        <v>0.45833333333333331</v>
      </c>
      <c r="O192" s="2">
        <v>0.45833333333333331</v>
      </c>
      <c r="P192" s="2" t="s">
        <v>5</v>
      </c>
      <c r="Q192" s="2">
        <v>0.45833333333333331</v>
      </c>
      <c r="R192" s="2" t="s">
        <v>5</v>
      </c>
      <c r="S192" s="2">
        <v>0.45833333333333331</v>
      </c>
      <c r="T192" s="2">
        <v>0.45833333333333331</v>
      </c>
      <c r="U192" s="2">
        <v>0.45833333333333331</v>
      </c>
      <c r="V192" s="2">
        <v>0.45833333333333331</v>
      </c>
      <c r="W192" s="2" t="s">
        <v>5</v>
      </c>
      <c r="X192" s="2" t="s">
        <v>5</v>
      </c>
      <c r="Y192" s="2" t="s">
        <v>5</v>
      </c>
      <c r="Z192" s="2">
        <v>0.45833333333333331</v>
      </c>
      <c r="AA192" s="2">
        <v>0.45833333333333331</v>
      </c>
      <c r="AB192" s="2">
        <v>0.45833333333333331</v>
      </c>
      <c r="AC192" s="2">
        <v>0.45833333333333331</v>
      </c>
      <c r="AD192" s="2">
        <v>0.45833333333333331</v>
      </c>
      <c r="AE192" s="2">
        <v>0.45833333333333331</v>
      </c>
      <c r="AF192" s="2" t="s">
        <v>5</v>
      </c>
      <c r="AG192" s="2">
        <v>0.45833333333333331</v>
      </c>
      <c r="AH192" s="2">
        <v>0.45833333333333331</v>
      </c>
      <c r="AI192" s="2">
        <v>0.45833333333333331</v>
      </c>
      <c r="AJ192" s="2">
        <v>0.45833333333333331</v>
      </c>
      <c r="AK192" s="2" t="s">
        <v>5</v>
      </c>
      <c r="AL192" s="2">
        <v>0.45833333333333331</v>
      </c>
      <c r="AM192" s="2" t="s">
        <v>5</v>
      </c>
      <c r="AN192" s="20"/>
      <c r="AO192" s="12"/>
    </row>
    <row r="193" spans="1:41">
      <c r="A193" s="1" t="s">
        <v>163</v>
      </c>
      <c r="B193" s="12" t="s">
        <v>237</v>
      </c>
      <c r="C193" s="1" t="s">
        <v>26</v>
      </c>
      <c r="D193" s="1" t="s">
        <v>157</v>
      </c>
      <c r="E193" s="1" t="s">
        <v>82</v>
      </c>
      <c r="F193" s="6">
        <v>45905</v>
      </c>
      <c r="G193" s="1" t="s">
        <v>32</v>
      </c>
      <c r="H193" s="12" t="s">
        <v>18</v>
      </c>
      <c r="I193" s="7" t="s">
        <v>8</v>
      </c>
      <c r="J193" s="2">
        <v>0.875</v>
      </c>
      <c r="K193" s="2" t="s">
        <v>5</v>
      </c>
      <c r="L193" s="2">
        <v>0.875</v>
      </c>
      <c r="M193" s="2">
        <v>0.83333333333333337</v>
      </c>
      <c r="N193" s="2">
        <v>0.875</v>
      </c>
      <c r="O193" s="2">
        <v>0.875</v>
      </c>
      <c r="P193" s="2" t="s">
        <v>5</v>
      </c>
      <c r="Q193" s="2">
        <v>0.83333333333333337</v>
      </c>
      <c r="R193" s="2" t="s">
        <v>5</v>
      </c>
      <c r="S193" s="2">
        <v>0.83333333333333337</v>
      </c>
      <c r="T193" s="2">
        <v>0.875</v>
      </c>
      <c r="U193" s="2">
        <v>0.83333333333333337</v>
      </c>
      <c r="V193" s="2">
        <v>0.875</v>
      </c>
      <c r="W193" s="2" t="s">
        <v>5</v>
      </c>
      <c r="X193" s="2" t="s">
        <v>5</v>
      </c>
      <c r="Y193" s="2" t="s">
        <v>5</v>
      </c>
      <c r="Z193" s="2">
        <v>0.83333333333333337</v>
      </c>
      <c r="AA193" s="2">
        <v>0.875</v>
      </c>
      <c r="AB193" s="2">
        <v>0.83333333333333337</v>
      </c>
      <c r="AC193" s="2">
        <v>0.875</v>
      </c>
      <c r="AD193" s="2">
        <v>0.875</v>
      </c>
      <c r="AE193" s="2">
        <v>0.875</v>
      </c>
      <c r="AF193" s="2" t="s">
        <v>5</v>
      </c>
      <c r="AG193" s="2">
        <v>0.83333333333333337</v>
      </c>
      <c r="AH193" s="2">
        <v>0.83333333333333337</v>
      </c>
      <c r="AI193" s="2">
        <v>0.83333333333333337</v>
      </c>
      <c r="AJ193" s="2">
        <v>0.83333333333333337</v>
      </c>
      <c r="AK193" s="2" t="s">
        <v>5</v>
      </c>
      <c r="AL193" s="2">
        <v>0.875</v>
      </c>
      <c r="AM193" s="2" t="s">
        <v>5</v>
      </c>
      <c r="AN193" s="20"/>
      <c r="AO193" s="12"/>
    </row>
    <row r="194" spans="1:41">
      <c r="A194" s="21" t="s">
        <v>163</v>
      </c>
      <c r="B194" s="21" t="s">
        <v>237</v>
      </c>
      <c r="C194" s="21" t="s">
        <v>26</v>
      </c>
      <c r="D194" s="21" t="s">
        <v>157</v>
      </c>
      <c r="E194" s="21" t="s">
        <v>82</v>
      </c>
      <c r="F194" s="22">
        <v>45905</v>
      </c>
      <c r="G194" s="21" t="s">
        <v>32</v>
      </c>
      <c r="H194" s="21" t="s">
        <v>18</v>
      </c>
      <c r="I194" s="25" t="s">
        <v>9</v>
      </c>
      <c r="J194" s="24">
        <f>IF(AND(ISBLANK(J192),ISBLANK(J193)),"A",IFERROR(+MOD(J193-J192,1),J191))</f>
        <v>0.41666666666666669</v>
      </c>
      <c r="K194" s="24" t="s">
        <v>5</v>
      </c>
      <c r="L194" s="24">
        <f t="shared" ref="L194:N194" si="764">IF(AND(ISBLANK(L192),ISBLANK(L193)),"A",IFERROR(+MOD(L193-L192,1),L191))</f>
        <v>0.41666666666666669</v>
      </c>
      <c r="M194" s="24">
        <f t="shared" ref="M194" si="765">IF(AND(ISBLANK(M192),ISBLANK(M193)),"A",IFERROR(+MOD(M193-M192,1),M191))</f>
        <v>0.37500000000000006</v>
      </c>
      <c r="N194" s="24">
        <f t="shared" si="764"/>
        <v>0.41666666666666669</v>
      </c>
      <c r="O194" s="24">
        <f t="shared" ref="O194:Q194" si="766">IF(AND(ISBLANK(O192),ISBLANK(O193)),"A",IFERROR(+MOD(O193-O192,1),O191))</f>
        <v>0.41666666666666669</v>
      </c>
      <c r="P194" s="24" t="s">
        <v>5</v>
      </c>
      <c r="Q194" s="24">
        <f t="shared" si="766"/>
        <v>0.37500000000000006</v>
      </c>
      <c r="R194" s="24" t="s">
        <v>5</v>
      </c>
      <c r="S194" s="24">
        <f t="shared" ref="S194" si="767">IF(AND(ISBLANK(S192),ISBLANK(S193)),"A",IFERROR(+MOD(S193-S192,1),S191))</f>
        <v>0.37500000000000006</v>
      </c>
      <c r="T194" s="24">
        <f t="shared" ref="T194" si="768">IF(AND(ISBLANK(T192),ISBLANK(T193)),"A",IFERROR(+MOD(T193-T192,1),T191))</f>
        <v>0.41666666666666669</v>
      </c>
      <c r="U194" s="24">
        <f t="shared" ref="U194" si="769">IF(AND(ISBLANK(U192),ISBLANK(U193)),"A",IFERROR(+MOD(U193-U192,1),U191))</f>
        <v>0.37500000000000006</v>
      </c>
      <c r="V194" s="24">
        <f t="shared" ref="V194" si="770">IF(AND(ISBLANK(V192),ISBLANK(V193)),"A",IFERROR(+MOD(V193-V192,1),V191))</f>
        <v>0.41666666666666669</v>
      </c>
      <c r="W194" s="24" t="s">
        <v>5</v>
      </c>
      <c r="X194" s="24" t="s">
        <v>5</v>
      </c>
      <c r="Y194" s="24" t="s">
        <v>5</v>
      </c>
      <c r="Z194" s="24">
        <f t="shared" ref="Z194" si="771">IF(AND(ISBLANK(Z192),ISBLANK(Z193)),"A",IFERROR(+MOD(Z193-Z192,1),Z191))</f>
        <v>0.37500000000000006</v>
      </c>
      <c r="AA194" s="24">
        <f t="shared" ref="AA194" si="772">IF(AND(ISBLANK(AA192),ISBLANK(AA193)),"A",IFERROR(+MOD(AA193-AA192,1),AA191))</f>
        <v>0.41666666666666669</v>
      </c>
      <c r="AB194" s="24">
        <f t="shared" ref="AB194" si="773">IF(AND(ISBLANK(AB192),ISBLANK(AB193)),"A",IFERROR(+MOD(AB193-AB192,1),AB191))</f>
        <v>0.37500000000000006</v>
      </c>
      <c r="AC194" s="24">
        <f t="shared" ref="AC194:AD194" si="774">IF(AND(ISBLANK(AC192),ISBLANK(AC193)),"A",IFERROR(+MOD(AC193-AC192,1),AC191))</f>
        <v>0.41666666666666669</v>
      </c>
      <c r="AD194" s="24">
        <f t="shared" si="774"/>
        <v>0.41666666666666669</v>
      </c>
      <c r="AE194" s="24">
        <f t="shared" ref="AE194" si="775">IF(AND(ISBLANK(AE192),ISBLANK(AE193)),"A",IFERROR(+MOD(AE193-AE192,1),AE191))</f>
        <v>0.41666666666666669</v>
      </c>
      <c r="AF194" s="24" t="s">
        <v>5</v>
      </c>
      <c r="AG194" s="24">
        <f t="shared" ref="AG194" si="776">IF(AND(ISBLANK(AG192),ISBLANK(AG193)),"A",IFERROR(+MOD(AG193-AG192,1),AG191))</f>
        <v>0.37500000000000006</v>
      </c>
      <c r="AH194" s="24">
        <f t="shared" ref="AH194" si="777">IF(AND(ISBLANK(AH192),ISBLANK(AH193)),"A",IFERROR(+MOD(AH193-AH192,1),AH191))</f>
        <v>0.37500000000000006</v>
      </c>
      <c r="AI194" s="24">
        <f t="shared" ref="AI194" si="778">IF(AND(ISBLANK(AI192),ISBLANK(AI193)),"A",IFERROR(+MOD(AI193-AI192,1),AI191))</f>
        <v>0.37500000000000006</v>
      </c>
      <c r="AJ194" s="24">
        <f t="shared" ref="AJ194" si="779">IF(AND(ISBLANK(AJ192),ISBLANK(AJ193)),"A",IFERROR(+MOD(AJ193-AJ192,1),AJ191))</f>
        <v>0.37500000000000006</v>
      </c>
      <c r="AK194" s="24" t="s">
        <v>5</v>
      </c>
      <c r="AL194" s="24">
        <f t="shared" ref="AL194" si="780">IF(AND(ISBLANK(AL192),ISBLANK(AL193)),"A",IFERROR(+MOD(AL193-AL192,1),AL191))</f>
        <v>0.41666666666666669</v>
      </c>
      <c r="AM194" s="24" t="s">
        <v>5</v>
      </c>
      <c r="AN194" s="17">
        <f>COUNT(F194:AM194)</f>
        <v>22</v>
      </c>
      <c r="AO194" s="21"/>
    </row>
    <row r="195" spans="1:41">
      <c r="A195" s="8" t="s">
        <v>164</v>
      </c>
      <c r="B195" s="12" t="s">
        <v>237</v>
      </c>
      <c r="C195" s="8" t="s">
        <v>83</v>
      </c>
      <c r="D195" s="8" t="s">
        <v>157</v>
      </c>
      <c r="E195" s="8" t="s">
        <v>84</v>
      </c>
      <c r="F195" s="11">
        <v>45905</v>
      </c>
      <c r="G195" s="8" t="s">
        <v>32</v>
      </c>
      <c r="H195" s="12" t="s">
        <v>18</v>
      </c>
      <c r="I195" s="14" t="s">
        <v>4</v>
      </c>
      <c r="J195" s="2" t="s">
        <v>6</v>
      </c>
      <c r="K195" s="2" t="s">
        <v>5</v>
      </c>
      <c r="L195" s="2" t="s">
        <v>5</v>
      </c>
      <c r="M195" s="2" t="s">
        <v>6</v>
      </c>
      <c r="N195" s="2" t="s">
        <v>6</v>
      </c>
      <c r="O195" s="2" t="s">
        <v>6</v>
      </c>
      <c r="P195" s="2" t="s">
        <v>6</v>
      </c>
      <c r="Q195" s="2" t="s">
        <v>6</v>
      </c>
      <c r="R195" s="2" t="s">
        <v>5</v>
      </c>
      <c r="S195" s="2" t="s">
        <v>6</v>
      </c>
      <c r="T195" s="2" t="s">
        <v>6</v>
      </c>
      <c r="U195" s="2" t="s">
        <v>6</v>
      </c>
      <c r="V195" s="2" t="s">
        <v>5</v>
      </c>
      <c r="W195" s="2" t="s">
        <v>6</v>
      </c>
      <c r="X195" s="2" t="s">
        <v>6</v>
      </c>
      <c r="Y195" s="2" t="s">
        <v>5</v>
      </c>
      <c r="Z195" s="2" t="s">
        <v>6</v>
      </c>
      <c r="AA195" s="2" t="s">
        <v>6</v>
      </c>
      <c r="AB195" s="2" t="s">
        <v>6</v>
      </c>
      <c r="AC195" s="2" t="s">
        <v>6</v>
      </c>
      <c r="AD195" s="2" t="s">
        <v>6</v>
      </c>
      <c r="AE195" s="2" t="s">
        <v>6</v>
      </c>
      <c r="AF195" s="2" t="s">
        <v>5</v>
      </c>
      <c r="AG195" s="2" t="s">
        <v>6</v>
      </c>
      <c r="AH195" s="2" t="s">
        <v>6</v>
      </c>
      <c r="AI195" s="2" t="s">
        <v>6</v>
      </c>
      <c r="AJ195" s="2" t="s">
        <v>6</v>
      </c>
      <c r="AK195" s="2" t="s">
        <v>6</v>
      </c>
      <c r="AL195" s="2" t="s">
        <v>6</v>
      </c>
      <c r="AM195" s="2" t="s">
        <v>5</v>
      </c>
      <c r="AN195" s="20"/>
      <c r="AO195" s="12" t="s">
        <v>18</v>
      </c>
    </row>
    <row r="196" spans="1:41">
      <c r="A196" s="1" t="s">
        <v>164</v>
      </c>
      <c r="B196" s="12" t="s">
        <v>237</v>
      </c>
      <c r="C196" s="3" t="s">
        <v>83</v>
      </c>
      <c r="D196" s="3" t="s">
        <v>157</v>
      </c>
      <c r="E196" s="3" t="s">
        <v>84</v>
      </c>
      <c r="F196" s="6">
        <v>45905</v>
      </c>
      <c r="G196" s="5" t="s">
        <v>32</v>
      </c>
      <c r="H196" s="12" t="s">
        <v>18</v>
      </c>
      <c r="I196" s="7" t="s">
        <v>7</v>
      </c>
      <c r="J196" s="2">
        <v>0.45833333333333331</v>
      </c>
      <c r="K196" s="2" t="s">
        <v>5</v>
      </c>
      <c r="L196" s="2" t="s">
        <v>5</v>
      </c>
      <c r="M196" s="2">
        <v>0.45833333333333331</v>
      </c>
      <c r="N196" s="2">
        <v>0.45833333333333331</v>
      </c>
      <c r="O196" s="2">
        <v>0.45833333333333331</v>
      </c>
      <c r="P196" s="2">
        <v>0.45833333333333331</v>
      </c>
      <c r="Q196" s="2">
        <v>0.45833333333333331</v>
      </c>
      <c r="R196" s="2" t="s">
        <v>5</v>
      </c>
      <c r="S196" s="2">
        <v>0.45833333333333331</v>
      </c>
      <c r="T196" s="2">
        <v>0.45833333333333331</v>
      </c>
      <c r="U196" s="2">
        <v>0.45833333333333331</v>
      </c>
      <c r="V196" s="2" t="s">
        <v>5</v>
      </c>
      <c r="W196" s="2">
        <v>0.45833333333333331</v>
      </c>
      <c r="X196" s="2">
        <v>0.45833333333333331</v>
      </c>
      <c r="Y196" s="2" t="s">
        <v>5</v>
      </c>
      <c r="Z196" s="2">
        <v>0.45833333333333331</v>
      </c>
      <c r="AA196" s="2">
        <v>0.45833333333333331</v>
      </c>
      <c r="AB196" s="2">
        <v>0.45833333333333331</v>
      </c>
      <c r="AC196" s="2">
        <v>0.45833333333333331</v>
      </c>
      <c r="AD196" s="2">
        <v>0.45833333333333331</v>
      </c>
      <c r="AE196" s="2">
        <v>0.45833333333333331</v>
      </c>
      <c r="AF196" s="2" t="s">
        <v>5</v>
      </c>
      <c r="AG196" s="2">
        <v>0.45833333333333331</v>
      </c>
      <c r="AH196" s="2">
        <v>0.45833333333333331</v>
      </c>
      <c r="AI196" s="2">
        <v>0.45833333333333331</v>
      </c>
      <c r="AJ196" s="2">
        <v>0.45833333333333331</v>
      </c>
      <c r="AK196" s="2">
        <v>0.45833333333333331</v>
      </c>
      <c r="AL196" s="2">
        <v>0.45833333333333331</v>
      </c>
      <c r="AM196" s="2" t="s">
        <v>5</v>
      </c>
      <c r="AN196" s="20"/>
      <c r="AO196" s="12"/>
    </row>
    <row r="197" spans="1:41">
      <c r="A197" s="1" t="s">
        <v>164</v>
      </c>
      <c r="B197" s="12" t="s">
        <v>237</v>
      </c>
      <c r="C197" s="1" t="s">
        <v>83</v>
      </c>
      <c r="D197" s="1" t="s">
        <v>157</v>
      </c>
      <c r="E197" s="1" t="s">
        <v>84</v>
      </c>
      <c r="F197" s="6">
        <v>45905</v>
      </c>
      <c r="G197" s="1" t="s">
        <v>32</v>
      </c>
      <c r="H197" s="12" t="s">
        <v>18</v>
      </c>
      <c r="I197" s="7" t="s">
        <v>8</v>
      </c>
      <c r="J197" s="2">
        <v>0.875</v>
      </c>
      <c r="K197" s="2" t="s">
        <v>5</v>
      </c>
      <c r="L197" s="2" t="s">
        <v>5</v>
      </c>
      <c r="M197" s="2">
        <v>0.83333333333333337</v>
      </c>
      <c r="N197" s="2">
        <v>0.875</v>
      </c>
      <c r="O197" s="2">
        <v>0.875</v>
      </c>
      <c r="P197" s="2">
        <v>0.875</v>
      </c>
      <c r="Q197" s="2">
        <v>0.83333333333333337</v>
      </c>
      <c r="R197" s="2" t="s">
        <v>5</v>
      </c>
      <c r="S197" s="2">
        <v>0.83333333333333337</v>
      </c>
      <c r="T197" s="2">
        <v>0.875</v>
      </c>
      <c r="U197" s="2">
        <v>0.83333333333333337</v>
      </c>
      <c r="V197" s="2" t="s">
        <v>5</v>
      </c>
      <c r="W197" s="2">
        <v>0.83333333333333337</v>
      </c>
      <c r="X197" s="2">
        <v>0.875</v>
      </c>
      <c r="Y197" s="2" t="s">
        <v>5</v>
      </c>
      <c r="Z197" s="2">
        <v>0.83333333333333337</v>
      </c>
      <c r="AA197" s="2">
        <v>0.875</v>
      </c>
      <c r="AB197" s="2">
        <v>0.83333333333333337</v>
      </c>
      <c r="AC197" s="2">
        <v>0.875</v>
      </c>
      <c r="AD197" s="2">
        <v>0.83333333333333337</v>
      </c>
      <c r="AE197" s="2">
        <v>0.83333333333333337</v>
      </c>
      <c r="AF197" s="2" t="s">
        <v>5</v>
      </c>
      <c r="AG197" s="2">
        <v>0.83333333333333337</v>
      </c>
      <c r="AH197" s="2">
        <v>0.83333333333333337</v>
      </c>
      <c r="AI197" s="2">
        <v>0.83333333333333337</v>
      </c>
      <c r="AJ197" s="2">
        <v>0.83333333333333337</v>
      </c>
      <c r="AK197" s="2">
        <v>0.83333333333333337</v>
      </c>
      <c r="AL197" s="2">
        <v>0.875</v>
      </c>
      <c r="AM197" s="2" t="s">
        <v>5</v>
      </c>
      <c r="AN197" s="20"/>
      <c r="AO197" s="12"/>
    </row>
    <row r="198" spans="1:41">
      <c r="A198" s="21" t="s">
        <v>164</v>
      </c>
      <c r="B198" s="21" t="s">
        <v>237</v>
      </c>
      <c r="C198" s="21" t="s">
        <v>83</v>
      </c>
      <c r="D198" s="21" t="s">
        <v>157</v>
      </c>
      <c r="E198" s="21" t="s">
        <v>84</v>
      </c>
      <c r="F198" s="22">
        <v>45905</v>
      </c>
      <c r="G198" s="21" t="s">
        <v>32</v>
      </c>
      <c r="H198" s="21" t="s">
        <v>18</v>
      </c>
      <c r="I198" s="25" t="s">
        <v>9</v>
      </c>
      <c r="J198" s="24">
        <f>IF(AND(ISBLANK(J196),ISBLANK(J197)),"A",IFERROR(+MOD(J197-J196,1),J195))</f>
        <v>0.41666666666666669</v>
      </c>
      <c r="K198" s="24" t="s">
        <v>5</v>
      </c>
      <c r="L198" s="24" t="s">
        <v>5</v>
      </c>
      <c r="M198" s="24">
        <f t="shared" ref="M198:N198" si="781">IF(AND(ISBLANK(M196),ISBLANK(M197)),"A",IFERROR(+MOD(M197-M196,1),M195))</f>
        <v>0.37500000000000006</v>
      </c>
      <c r="N198" s="24">
        <f t="shared" si="781"/>
        <v>0.41666666666666669</v>
      </c>
      <c r="O198" s="24">
        <f t="shared" ref="O198:P198" si="782">IF(AND(ISBLANK(O196),ISBLANK(O197)),"A",IFERROR(+MOD(O197-O196,1),O195))</f>
        <v>0.41666666666666669</v>
      </c>
      <c r="P198" s="24">
        <f t="shared" si="782"/>
        <v>0.41666666666666669</v>
      </c>
      <c r="Q198" s="24">
        <f t="shared" ref="Q198" si="783">IF(AND(ISBLANK(Q196),ISBLANK(Q197)),"A",IFERROR(+MOD(Q197-Q196,1),Q195))</f>
        <v>0.37500000000000006</v>
      </c>
      <c r="R198" s="24" t="s">
        <v>5</v>
      </c>
      <c r="S198" s="24">
        <f t="shared" ref="S198" si="784">IF(AND(ISBLANK(S196),ISBLANK(S197)),"A",IFERROR(+MOD(S197-S196,1),S195))</f>
        <v>0.37500000000000006</v>
      </c>
      <c r="T198" s="24">
        <f t="shared" ref="T198" si="785">IF(AND(ISBLANK(T196),ISBLANK(T197)),"A",IFERROR(+MOD(T197-T196,1),T195))</f>
        <v>0.41666666666666669</v>
      </c>
      <c r="U198" s="24">
        <f t="shared" ref="U198" si="786">IF(AND(ISBLANK(U196),ISBLANK(U197)),"A",IFERROR(+MOD(U197-U196,1),U195))</f>
        <v>0.37500000000000006</v>
      </c>
      <c r="V198" s="24" t="s">
        <v>5</v>
      </c>
      <c r="W198" s="24">
        <f t="shared" ref="W198" si="787">IF(AND(ISBLANK(W196),ISBLANK(W197)),"A",IFERROR(+MOD(W197-W196,1),W195))</f>
        <v>0.37500000000000006</v>
      </c>
      <c r="X198" s="24">
        <f t="shared" ref="X198" si="788">IF(AND(ISBLANK(X196),ISBLANK(X197)),"A",IFERROR(+MOD(X197-X196,1),X195))</f>
        <v>0.41666666666666669</v>
      </c>
      <c r="Y198" s="24" t="s">
        <v>5</v>
      </c>
      <c r="Z198" s="24">
        <f t="shared" ref="Z198" si="789">IF(AND(ISBLANK(Z196),ISBLANK(Z197)),"A",IFERROR(+MOD(Z197-Z196,1),Z195))</f>
        <v>0.37500000000000006</v>
      </c>
      <c r="AA198" s="24">
        <f t="shared" ref="AA198" si="790">IF(AND(ISBLANK(AA196),ISBLANK(AA197)),"A",IFERROR(+MOD(AA197-AA196,1),AA195))</f>
        <v>0.41666666666666669</v>
      </c>
      <c r="AB198" s="24">
        <f t="shared" ref="AB198" si="791">IF(AND(ISBLANK(AB196),ISBLANK(AB197)),"A",IFERROR(+MOD(AB197-AB196,1),AB195))</f>
        <v>0.37500000000000006</v>
      </c>
      <c r="AC198" s="24">
        <f t="shared" ref="AC198:AD198" si="792">IF(AND(ISBLANK(AC196),ISBLANK(AC197)),"A",IFERROR(+MOD(AC197-AC196,1),AC195))</f>
        <v>0.41666666666666669</v>
      </c>
      <c r="AD198" s="24">
        <f t="shared" si="792"/>
        <v>0.37500000000000006</v>
      </c>
      <c r="AE198" s="24">
        <f t="shared" ref="AE198" si="793">IF(AND(ISBLANK(AE196),ISBLANK(AE197)),"A",IFERROR(+MOD(AE197-AE196,1),AE195))</f>
        <v>0.37500000000000006</v>
      </c>
      <c r="AF198" s="24" t="s">
        <v>5</v>
      </c>
      <c r="AG198" s="24">
        <f t="shared" ref="AG198" si="794">IF(AND(ISBLANK(AG196),ISBLANK(AG197)),"A",IFERROR(+MOD(AG197-AG196,1),AG195))</f>
        <v>0.37500000000000006</v>
      </c>
      <c r="AH198" s="24">
        <f t="shared" ref="AH198" si="795">IF(AND(ISBLANK(AH196),ISBLANK(AH197)),"A",IFERROR(+MOD(AH197-AH196,1),AH195))</f>
        <v>0.37500000000000006</v>
      </c>
      <c r="AI198" s="24">
        <f t="shared" ref="AI198" si="796">IF(AND(ISBLANK(AI196),ISBLANK(AI197)),"A",IFERROR(+MOD(AI197-AI196,1),AI195))</f>
        <v>0.37500000000000006</v>
      </c>
      <c r="AJ198" s="24">
        <f t="shared" ref="AJ198" si="797">IF(AND(ISBLANK(AJ196),ISBLANK(AJ197)),"A",IFERROR(+MOD(AJ197-AJ196,1),AJ195))</f>
        <v>0.37500000000000006</v>
      </c>
      <c r="AK198" s="24">
        <f t="shared" ref="AK198" si="798">IF(AND(ISBLANK(AK196),ISBLANK(AK197)),"A",IFERROR(+MOD(AK197-AK196,1),AK195))</f>
        <v>0.37500000000000006</v>
      </c>
      <c r="AL198" s="24">
        <f t="shared" ref="AL198" si="799">IF(AND(ISBLANK(AL196),ISBLANK(AL197)),"A",IFERROR(+MOD(AL197-AL196,1),AL195))</f>
        <v>0.41666666666666669</v>
      </c>
      <c r="AM198" s="24" t="s">
        <v>5</v>
      </c>
      <c r="AN198" s="17">
        <f>COUNT(F198:AM198)</f>
        <v>24</v>
      </c>
      <c r="AO198" s="21"/>
    </row>
    <row r="199" spans="1:41">
      <c r="A199" s="8" t="s">
        <v>178</v>
      </c>
      <c r="B199" s="12" t="s">
        <v>231</v>
      </c>
      <c r="C199" s="8" t="s">
        <v>72</v>
      </c>
      <c r="D199" s="8" t="s">
        <v>42</v>
      </c>
      <c r="E199" s="8" t="s">
        <v>180</v>
      </c>
      <c r="F199" s="11">
        <v>45907</v>
      </c>
      <c r="G199" s="8" t="s">
        <v>32</v>
      </c>
      <c r="H199" s="12" t="s">
        <v>18</v>
      </c>
      <c r="I199" s="14" t="s">
        <v>4</v>
      </c>
      <c r="J199" s="2" t="s">
        <v>5</v>
      </c>
      <c r="K199" s="2" t="s">
        <v>5</v>
      </c>
      <c r="L199" s="2" t="s">
        <v>6</v>
      </c>
      <c r="M199" s="2" t="s">
        <v>6</v>
      </c>
      <c r="N199" s="2" t="s">
        <v>5</v>
      </c>
      <c r="O199" s="2" t="s">
        <v>6</v>
      </c>
      <c r="P199" s="2" t="s">
        <v>6</v>
      </c>
      <c r="Q199" s="2" t="s">
        <v>6</v>
      </c>
      <c r="R199" s="2" t="s">
        <v>5</v>
      </c>
      <c r="S199" s="2" t="s">
        <v>6</v>
      </c>
      <c r="T199" s="2" t="s">
        <v>6</v>
      </c>
      <c r="U199" s="2" t="s">
        <v>6</v>
      </c>
      <c r="V199" s="2" t="s">
        <v>6</v>
      </c>
      <c r="W199" s="2" t="s">
        <v>6</v>
      </c>
      <c r="X199" s="2" t="s">
        <v>6</v>
      </c>
      <c r="Y199" s="2" t="s">
        <v>5</v>
      </c>
      <c r="Z199" s="2" t="s">
        <v>6</v>
      </c>
      <c r="AA199" s="2" t="s">
        <v>6</v>
      </c>
      <c r="AB199" s="2" t="s">
        <v>6</v>
      </c>
      <c r="AC199" s="2" t="s">
        <v>6</v>
      </c>
      <c r="AD199" s="2" t="s">
        <v>6</v>
      </c>
      <c r="AE199" s="2" t="s">
        <v>6</v>
      </c>
      <c r="AF199" s="2" t="s">
        <v>5</v>
      </c>
      <c r="AG199" s="2" t="s">
        <v>6</v>
      </c>
      <c r="AH199" s="2" t="s">
        <v>6</v>
      </c>
      <c r="AI199" s="2" t="s">
        <v>6</v>
      </c>
      <c r="AJ199" s="2" t="s">
        <v>6</v>
      </c>
      <c r="AK199" s="2" t="s">
        <v>6</v>
      </c>
      <c r="AL199" s="2" t="s">
        <v>6</v>
      </c>
      <c r="AM199" s="2" t="s">
        <v>5</v>
      </c>
      <c r="AN199" s="20"/>
      <c r="AO199" s="12" t="s">
        <v>18</v>
      </c>
    </row>
    <row r="200" spans="1:41">
      <c r="A200" s="1" t="s">
        <v>178</v>
      </c>
      <c r="B200" s="12" t="s">
        <v>231</v>
      </c>
      <c r="C200" s="3" t="s">
        <v>72</v>
      </c>
      <c r="D200" s="3" t="s">
        <v>42</v>
      </c>
      <c r="E200" s="3" t="s">
        <v>180</v>
      </c>
      <c r="F200" s="6">
        <v>45907</v>
      </c>
      <c r="G200" s="5" t="s">
        <v>32</v>
      </c>
      <c r="H200" s="12" t="s">
        <v>18</v>
      </c>
      <c r="I200" s="7" t="s">
        <v>7</v>
      </c>
      <c r="J200" s="2" t="s">
        <v>5</v>
      </c>
      <c r="K200" s="2" t="s">
        <v>5</v>
      </c>
      <c r="L200" s="2">
        <v>0.375</v>
      </c>
      <c r="M200" s="2">
        <v>0.54166666666666663</v>
      </c>
      <c r="N200" s="2" t="s">
        <v>5</v>
      </c>
      <c r="O200" s="2">
        <v>0.375</v>
      </c>
      <c r="P200" s="2">
        <v>0.41666666666666669</v>
      </c>
      <c r="Q200" s="2">
        <v>0.375</v>
      </c>
      <c r="R200" s="2" t="s">
        <v>5</v>
      </c>
      <c r="S200" s="2">
        <v>0.39583333333333331</v>
      </c>
      <c r="T200" s="2">
        <v>0.38541666666666669</v>
      </c>
      <c r="U200" s="2">
        <v>0.41666666666666669</v>
      </c>
      <c r="V200" s="2">
        <v>0.39583333333333331</v>
      </c>
      <c r="W200" s="2">
        <v>0.3923611111111111</v>
      </c>
      <c r="X200" s="2">
        <v>0.39583333333333331</v>
      </c>
      <c r="Y200" s="2" t="s">
        <v>5</v>
      </c>
      <c r="Z200" s="2">
        <v>0.3923611111111111</v>
      </c>
      <c r="AA200" s="2">
        <v>0.3888888888888889</v>
      </c>
      <c r="AB200" s="2">
        <v>0.3923611111111111</v>
      </c>
      <c r="AC200" s="2">
        <v>0.40625</v>
      </c>
      <c r="AD200" s="2">
        <v>0.41666666666666669</v>
      </c>
      <c r="AE200" s="2">
        <v>0.41666666666666669</v>
      </c>
      <c r="AF200" s="2" t="s">
        <v>5</v>
      </c>
      <c r="AG200" s="2">
        <v>0.375</v>
      </c>
      <c r="AH200" s="2">
        <v>0.4375</v>
      </c>
      <c r="AI200" s="2">
        <v>0.45833333333333331</v>
      </c>
      <c r="AJ200" s="2">
        <v>0.49305555555555558</v>
      </c>
      <c r="AK200" s="2">
        <v>0.45833333333333331</v>
      </c>
      <c r="AL200" s="2">
        <v>0.5</v>
      </c>
      <c r="AM200" s="2" t="s">
        <v>5</v>
      </c>
      <c r="AN200" s="20"/>
      <c r="AO200" s="12"/>
    </row>
    <row r="201" spans="1:41">
      <c r="A201" s="1" t="s">
        <v>178</v>
      </c>
      <c r="B201" s="12" t="s">
        <v>231</v>
      </c>
      <c r="C201" s="1" t="s">
        <v>72</v>
      </c>
      <c r="D201" s="1" t="s">
        <v>42</v>
      </c>
      <c r="E201" s="1" t="s">
        <v>180</v>
      </c>
      <c r="F201" s="6">
        <v>45907</v>
      </c>
      <c r="G201" s="1" t="s">
        <v>32</v>
      </c>
      <c r="H201" s="12" t="s">
        <v>18</v>
      </c>
      <c r="I201" s="7" t="s">
        <v>8</v>
      </c>
      <c r="J201" s="2" t="s">
        <v>5</v>
      </c>
      <c r="K201" s="2" t="s">
        <v>5</v>
      </c>
      <c r="L201" s="2">
        <v>0.20833333333333334</v>
      </c>
      <c r="M201" s="2">
        <v>0.125</v>
      </c>
      <c r="N201" s="2" t="s">
        <v>5</v>
      </c>
      <c r="O201" s="2">
        <v>1.0104166666666667</v>
      </c>
      <c r="P201" s="2">
        <v>0.95833333333333337</v>
      </c>
      <c r="Q201" s="2">
        <v>0.34791666666666665</v>
      </c>
      <c r="R201" s="2" t="s">
        <v>5</v>
      </c>
      <c r="S201" s="2">
        <v>0.97916666666666663</v>
      </c>
      <c r="T201" s="2">
        <v>0.95833333333333337</v>
      </c>
      <c r="U201" s="2">
        <v>0.96875</v>
      </c>
      <c r="V201" s="2">
        <v>0.93819444444444444</v>
      </c>
      <c r="W201" s="2">
        <v>0.98611111111111116</v>
      </c>
      <c r="X201" s="2">
        <v>6.458333333333334E-2</v>
      </c>
      <c r="Y201" s="2" t="s">
        <v>5</v>
      </c>
      <c r="Z201" s="2">
        <v>0.89583333333333337</v>
      </c>
      <c r="AA201" s="2">
        <v>0.9375</v>
      </c>
      <c r="AB201" s="2">
        <v>0.47916666666666669</v>
      </c>
      <c r="AC201" s="2">
        <v>0.95833333333333337</v>
      </c>
      <c r="AD201" s="2">
        <v>0.96875</v>
      </c>
      <c r="AE201" s="2">
        <v>6.25E-2</v>
      </c>
      <c r="AF201" s="2" t="s">
        <v>5</v>
      </c>
      <c r="AG201" s="2">
        <v>0.10416666666666667</v>
      </c>
      <c r="AH201" s="2">
        <v>0.98958333333333337</v>
      </c>
      <c r="AI201" s="2">
        <v>0.12847222222222224</v>
      </c>
      <c r="AJ201" s="2">
        <v>0.125</v>
      </c>
      <c r="AK201" s="2">
        <v>4.1666666666666664E-2</v>
      </c>
      <c r="AL201" s="2">
        <v>0.125</v>
      </c>
      <c r="AM201" s="2" t="s">
        <v>5</v>
      </c>
      <c r="AN201" s="20"/>
      <c r="AO201" s="12"/>
    </row>
    <row r="202" spans="1:41">
      <c r="A202" s="21" t="s">
        <v>178</v>
      </c>
      <c r="B202" s="21" t="s">
        <v>231</v>
      </c>
      <c r="C202" s="21" t="s">
        <v>72</v>
      </c>
      <c r="D202" s="21" t="s">
        <v>42</v>
      </c>
      <c r="E202" s="21" t="s">
        <v>180</v>
      </c>
      <c r="F202" s="22">
        <v>45907</v>
      </c>
      <c r="G202" s="21" t="s">
        <v>32</v>
      </c>
      <c r="H202" s="21" t="s">
        <v>18</v>
      </c>
      <c r="I202" s="25" t="s">
        <v>9</v>
      </c>
      <c r="J202" s="24" t="s">
        <v>5</v>
      </c>
      <c r="K202" s="24" t="s">
        <v>5</v>
      </c>
      <c r="L202" s="24">
        <f>IF(AND(ISBLANK(L200),ISBLANK(L201)),"A",IFERROR(+MOD(L201-L200,1),L199))</f>
        <v>0.83333333333333337</v>
      </c>
      <c r="M202" s="24">
        <f t="shared" ref="M202" si="800">IF(AND(ISBLANK(M200),ISBLANK(M201)),"A",IFERROR(+MOD(M201-M200,1),M199))</f>
        <v>0.58333333333333337</v>
      </c>
      <c r="N202" s="24" t="s">
        <v>5</v>
      </c>
      <c r="O202" s="24">
        <f t="shared" ref="O202" si="801">IF(AND(ISBLANK(O200),ISBLANK(O201)),"A",IFERROR(+MOD(O201-O200,1),O199))</f>
        <v>0.63541666666666674</v>
      </c>
      <c r="P202" s="24">
        <f t="shared" ref="P202" si="802">IF(AND(ISBLANK(P200),ISBLANK(P201)),"A",IFERROR(+MOD(P201-P200,1),P199))</f>
        <v>0.54166666666666674</v>
      </c>
      <c r="Q202" s="24">
        <f t="shared" ref="Q202" si="803">IF(AND(ISBLANK(Q200),ISBLANK(Q201)),"A",IFERROR(+MOD(Q201-Q200,1),Q199))</f>
        <v>0.97291666666666665</v>
      </c>
      <c r="R202" s="24" t="s">
        <v>5</v>
      </c>
      <c r="S202" s="24">
        <f t="shared" ref="S202" si="804">IF(AND(ISBLANK(S200),ISBLANK(S201)),"A",IFERROR(+MOD(S201-S200,1),S199))</f>
        <v>0.58333333333333326</v>
      </c>
      <c r="T202" s="24">
        <f t="shared" ref="T202" si="805">IF(AND(ISBLANK(T200),ISBLANK(T201)),"A",IFERROR(+MOD(T201-T200,1),T199))</f>
        <v>0.57291666666666674</v>
      </c>
      <c r="U202" s="24">
        <f t="shared" ref="U202" si="806">IF(AND(ISBLANK(U200),ISBLANK(U201)),"A",IFERROR(+MOD(U201-U200,1),U199))</f>
        <v>0.55208333333333326</v>
      </c>
      <c r="V202" s="24">
        <f t="shared" ref="V202" si="807">IF(AND(ISBLANK(V200),ISBLANK(V201)),"A",IFERROR(+MOD(V201-V200,1),V199))</f>
        <v>0.54236111111111107</v>
      </c>
      <c r="W202" s="24">
        <f t="shared" ref="W202" si="808">IF(AND(ISBLANK(W200),ISBLANK(W201)),"A",IFERROR(+MOD(W201-W200,1),W199))</f>
        <v>0.59375</v>
      </c>
      <c r="X202" s="24">
        <f t="shared" ref="X202" si="809">IF(AND(ISBLANK(X200),ISBLANK(X201)),"A",IFERROR(+MOD(X201-X200,1),X199))</f>
        <v>0.66874999999999996</v>
      </c>
      <c r="Y202" s="24" t="s">
        <v>5</v>
      </c>
      <c r="Z202" s="24">
        <f t="shared" ref="Z202" si="810">IF(AND(ISBLANK(Z200),ISBLANK(Z201)),"A",IFERROR(+MOD(Z201-Z200,1),Z199))</f>
        <v>0.50347222222222232</v>
      </c>
      <c r="AA202" s="24">
        <f t="shared" ref="AA202" si="811">IF(AND(ISBLANK(AA200),ISBLANK(AA201)),"A",IFERROR(+MOD(AA201-AA200,1),AA199))</f>
        <v>0.54861111111111116</v>
      </c>
      <c r="AB202" s="24">
        <f t="shared" ref="AB202" si="812">IF(AND(ISBLANK(AB200),ISBLANK(AB201)),"A",IFERROR(+MOD(AB201-AB200,1),AB199))</f>
        <v>8.680555555555558E-2</v>
      </c>
      <c r="AC202" s="24">
        <f t="shared" ref="AC202" si="813">IF(AND(ISBLANK(AC200),ISBLANK(AC201)),"A",IFERROR(+MOD(AC201-AC200,1),AC199))</f>
        <v>0.55208333333333337</v>
      </c>
      <c r="AD202" s="24">
        <f t="shared" ref="AD202" si="814">IF(AND(ISBLANK(AD200),ISBLANK(AD201)),"A",IFERROR(+MOD(AD201-AD200,1),AD199))</f>
        <v>0.55208333333333326</v>
      </c>
      <c r="AE202" s="24">
        <f t="shared" ref="AE202" si="815">IF(AND(ISBLANK(AE200),ISBLANK(AE201)),"A",IFERROR(+MOD(AE201-AE200,1),AE199))</f>
        <v>0.64583333333333326</v>
      </c>
      <c r="AF202" s="24" t="s">
        <v>5</v>
      </c>
      <c r="AG202" s="24">
        <f t="shared" ref="AG202" si="816">IF(AND(ISBLANK(AG200),ISBLANK(AG201)),"A",IFERROR(+MOD(AG201-AG200,1),AG199))</f>
        <v>0.72916666666666674</v>
      </c>
      <c r="AH202" s="24">
        <f t="shared" ref="AH202" si="817">IF(AND(ISBLANK(AH200),ISBLANK(AH201)),"A",IFERROR(+MOD(AH201-AH200,1),AH199))</f>
        <v>0.55208333333333337</v>
      </c>
      <c r="AI202" s="24">
        <f t="shared" ref="AI202:AJ202" si="818">IF(AND(ISBLANK(AI200),ISBLANK(AI201)),"A",IFERROR(+MOD(AI201-AI200,1),AI199))</f>
        <v>0.67013888888888895</v>
      </c>
      <c r="AJ202" s="24">
        <f t="shared" si="818"/>
        <v>0.63194444444444442</v>
      </c>
      <c r="AK202" s="24">
        <f t="shared" ref="AK202:AL202" si="819">IF(AND(ISBLANK(AK200),ISBLANK(AK201)),"A",IFERROR(+MOD(AK201-AK200,1),AK199))</f>
        <v>0.58333333333333337</v>
      </c>
      <c r="AL202" s="24">
        <f t="shared" si="819"/>
        <v>0.625</v>
      </c>
      <c r="AM202" s="24" t="s">
        <v>5</v>
      </c>
      <c r="AN202" s="17">
        <f>COUNT(F202:AM202)</f>
        <v>24</v>
      </c>
      <c r="AO202" s="21"/>
    </row>
    <row r="203" spans="1:41">
      <c r="A203" s="8" t="s">
        <v>179</v>
      </c>
      <c r="B203" s="12" t="s">
        <v>236</v>
      </c>
      <c r="C203" s="8" t="s">
        <v>181</v>
      </c>
      <c r="D203" s="8" t="s">
        <v>42</v>
      </c>
      <c r="E203" s="8" t="s">
        <v>182</v>
      </c>
      <c r="F203" s="11">
        <v>45908</v>
      </c>
      <c r="G203" s="8" t="s">
        <v>32</v>
      </c>
      <c r="H203" s="12" t="s">
        <v>18</v>
      </c>
      <c r="I203" s="14" t="s">
        <v>4</v>
      </c>
      <c r="J203" s="2" t="s">
        <v>6</v>
      </c>
      <c r="K203" s="2" t="s">
        <v>5</v>
      </c>
      <c r="L203" s="2" t="s">
        <v>6</v>
      </c>
      <c r="M203" s="2" t="s">
        <v>6</v>
      </c>
      <c r="N203" s="2" t="s">
        <v>6</v>
      </c>
      <c r="O203" s="2" t="s">
        <v>6</v>
      </c>
      <c r="P203" s="2" t="s">
        <v>5</v>
      </c>
      <c r="Q203" s="2" t="s">
        <v>5</v>
      </c>
      <c r="R203" s="2" t="s">
        <v>5</v>
      </c>
      <c r="S203" s="2" t="s">
        <v>6</v>
      </c>
      <c r="T203" s="2" t="s">
        <v>6</v>
      </c>
      <c r="U203" s="2" t="s">
        <v>6</v>
      </c>
      <c r="V203" s="2" t="s">
        <v>6</v>
      </c>
      <c r="W203" s="2" t="s">
        <v>5</v>
      </c>
      <c r="X203" s="2" t="s">
        <v>6</v>
      </c>
      <c r="Y203" s="2" t="s">
        <v>5</v>
      </c>
      <c r="Z203" s="2" t="s">
        <v>6</v>
      </c>
      <c r="AA203" s="2" t="s">
        <v>6</v>
      </c>
      <c r="AB203" s="2" t="s">
        <v>6</v>
      </c>
      <c r="AC203" s="2" t="s">
        <v>5</v>
      </c>
      <c r="AD203" s="2" t="s">
        <v>5</v>
      </c>
      <c r="AE203" s="2" t="s">
        <v>5</v>
      </c>
      <c r="AF203" s="2" t="s">
        <v>5</v>
      </c>
      <c r="AG203" s="2" t="s">
        <v>6</v>
      </c>
      <c r="AH203" s="2" t="s">
        <v>6</v>
      </c>
      <c r="AI203" s="2" t="s">
        <v>6</v>
      </c>
      <c r="AJ203" s="2" t="s">
        <v>6</v>
      </c>
      <c r="AK203" s="2" t="s">
        <v>6</v>
      </c>
      <c r="AL203" s="2" t="s">
        <v>6</v>
      </c>
      <c r="AM203" s="2" t="s">
        <v>5</v>
      </c>
      <c r="AN203" s="20"/>
      <c r="AO203" s="12" t="s">
        <v>18</v>
      </c>
    </row>
    <row r="204" spans="1:41">
      <c r="A204" s="1" t="s">
        <v>179</v>
      </c>
      <c r="B204" s="12" t="s">
        <v>236</v>
      </c>
      <c r="C204" s="3" t="s">
        <v>181</v>
      </c>
      <c r="D204" s="3" t="s">
        <v>42</v>
      </c>
      <c r="E204" s="3" t="s">
        <v>182</v>
      </c>
      <c r="F204" s="6">
        <v>45908</v>
      </c>
      <c r="G204" s="5" t="s">
        <v>32</v>
      </c>
      <c r="H204" s="12" t="s">
        <v>18</v>
      </c>
      <c r="I204" s="7" t="s">
        <v>7</v>
      </c>
      <c r="J204" s="2">
        <v>0.375</v>
      </c>
      <c r="K204" s="2" t="s">
        <v>5</v>
      </c>
      <c r="L204" s="2">
        <v>0.375</v>
      </c>
      <c r="M204" s="2">
        <v>0.375</v>
      </c>
      <c r="N204" s="2">
        <v>0.45833333333333331</v>
      </c>
      <c r="O204" s="2">
        <v>0.5</v>
      </c>
      <c r="P204" s="2" t="s">
        <v>5</v>
      </c>
      <c r="Q204" s="2" t="s">
        <v>5</v>
      </c>
      <c r="R204" s="2" t="s">
        <v>5</v>
      </c>
      <c r="S204" s="2">
        <v>0.375</v>
      </c>
      <c r="T204" s="2">
        <v>0.3888888888888889</v>
      </c>
      <c r="U204" s="2">
        <v>0.77777777777777779</v>
      </c>
      <c r="V204" s="2">
        <v>0.5625</v>
      </c>
      <c r="W204" s="2" t="s">
        <v>5</v>
      </c>
      <c r="X204" s="2">
        <v>0.79166666666666663</v>
      </c>
      <c r="Y204" s="2" t="s">
        <v>5</v>
      </c>
      <c r="Z204" s="2">
        <v>0.375</v>
      </c>
      <c r="AA204" s="2">
        <v>0.375</v>
      </c>
      <c r="AB204" s="2">
        <v>0.38541666666666669</v>
      </c>
      <c r="AC204" s="2" t="s">
        <v>5</v>
      </c>
      <c r="AD204" s="2" t="s">
        <v>5</v>
      </c>
      <c r="AE204" s="2" t="s">
        <v>5</v>
      </c>
      <c r="AF204" s="2" t="s">
        <v>5</v>
      </c>
      <c r="AG204" s="2">
        <v>0.3888888888888889</v>
      </c>
      <c r="AH204" s="2">
        <v>0.375</v>
      </c>
      <c r="AI204" s="2">
        <v>0.375</v>
      </c>
      <c r="AJ204" s="2">
        <v>0.3888888888888889</v>
      </c>
      <c r="AK204" s="2">
        <v>0.41666666666666669</v>
      </c>
      <c r="AL204" s="2">
        <v>0.39583333333333331</v>
      </c>
      <c r="AM204" s="2" t="s">
        <v>5</v>
      </c>
      <c r="AN204" s="20"/>
      <c r="AO204" s="12"/>
    </row>
    <row r="205" spans="1:41">
      <c r="A205" s="1" t="s">
        <v>179</v>
      </c>
      <c r="B205" s="12" t="s">
        <v>236</v>
      </c>
      <c r="C205" s="1" t="s">
        <v>181</v>
      </c>
      <c r="D205" s="1" t="s">
        <v>42</v>
      </c>
      <c r="E205" s="1" t="s">
        <v>182</v>
      </c>
      <c r="F205" s="6">
        <v>45908</v>
      </c>
      <c r="G205" s="1" t="s">
        <v>32</v>
      </c>
      <c r="H205" s="12" t="s">
        <v>18</v>
      </c>
      <c r="I205" s="7" t="s">
        <v>8</v>
      </c>
      <c r="J205" s="2">
        <v>0.875</v>
      </c>
      <c r="K205" s="2" t="s">
        <v>5</v>
      </c>
      <c r="L205" s="2">
        <v>0.83333333333333337</v>
      </c>
      <c r="M205" s="2">
        <v>0.13194444444444445</v>
      </c>
      <c r="N205" s="2">
        <v>0.125</v>
      </c>
      <c r="O205" s="2">
        <v>0.875</v>
      </c>
      <c r="P205" s="2" t="s">
        <v>5</v>
      </c>
      <c r="Q205" s="2" t="s">
        <v>5</v>
      </c>
      <c r="R205" s="2" t="s">
        <v>5</v>
      </c>
      <c r="S205" s="2">
        <v>0.75</v>
      </c>
      <c r="T205" s="2">
        <v>0.20138888888888887</v>
      </c>
      <c r="U205" s="2">
        <v>0.20833333333333334</v>
      </c>
      <c r="V205" s="2">
        <v>0.75</v>
      </c>
      <c r="W205" s="2" t="s">
        <v>5</v>
      </c>
      <c r="X205" s="2">
        <v>0.20833333333333334</v>
      </c>
      <c r="Y205" s="2" t="s">
        <v>5</v>
      </c>
      <c r="Z205" s="2">
        <v>0.75</v>
      </c>
      <c r="AA205" s="2">
        <v>0.77777777777777779</v>
      </c>
      <c r="AB205" s="2">
        <v>0.875</v>
      </c>
      <c r="AC205" s="2" t="s">
        <v>5</v>
      </c>
      <c r="AD205" s="2" t="s">
        <v>5</v>
      </c>
      <c r="AE205" s="2" t="s">
        <v>5</v>
      </c>
      <c r="AF205" s="2" t="s">
        <v>5</v>
      </c>
      <c r="AG205" s="2">
        <v>0.75</v>
      </c>
      <c r="AH205" s="2">
        <v>1.0104166666666667</v>
      </c>
      <c r="AI205" s="2">
        <v>0.54166666666666663</v>
      </c>
      <c r="AJ205" s="2">
        <v>0.1875</v>
      </c>
      <c r="AK205" s="2">
        <v>0.83333333333333337</v>
      </c>
      <c r="AL205" s="2">
        <v>0.875</v>
      </c>
      <c r="AM205" s="2" t="s">
        <v>5</v>
      </c>
      <c r="AN205" s="20"/>
      <c r="AO205" s="12"/>
    </row>
    <row r="206" spans="1:41">
      <c r="A206" s="21" t="s">
        <v>179</v>
      </c>
      <c r="B206" s="21" t="s">
        <v>236</v>
      </c>
      <c r="C206" s="21" t="s">
        <v>181</v>
      </c>
      <c r="D206" s="21" t="s">
        <v>42</v>
      </c>
      <c r="E206" s="21" t="s">
        <v>182</v>
      </c>
      <c r="F206" s="22">
        <v>45908</v>
      </c>
      <c r="G206" s="21" t="s">
        <v>32</v>
      </c>
      <c r="H206" s="21" t="s">
        <v>18</v>
      </c>
      <c r="I206" s="25" t="s">
        <v>9</v>
      </c>
      <c r="J206" s="24">
        <f>IF(AND(ISBLANK(J204),ISBLANK(J205)),"A",IFERROR(+MOD(J205-J204,1),J203))</f>
        <v>0.5</v>
      </c>
      <c r="K206" s="24" t="s">
        <v>5</v>
      </c>
      <c r="L206" s="24">
        <f t="shared" ref="L206" si="820">IF(AND(ISBLANK(L204),ISBLANK(L205)),"A",IFERROR(+MOD(L205-L204,1),L203))</f>
        <v>0.45833333333333337</v>
      </c>
      <c r="M206" s="24">
        <f t="shared" ref="M206" si="821">IF(AND(ISBLANK(M204),ISBLANK(M205)),"A",IFERROR(+MOD(M205-M204,1),M203))</f>
        <v>0.75694444444444442</v>
      </c>
      <c r="N206" s="24">
        <f t="shared" ref="N206:O206" si="822">IF(AND(ISBLANK(N204),ISBLANK(N205)),"A",IFERROR(+MOD(N205-N204,1),N203))</f>
        <v>0.66666666666666674</v>
      </c>
      <c r="O206" s="24">
        <f t="shared" si="822"/>
        <v>0.375</v>
      </c>
      <c r="P206" s="24" t="s">
        <v>5</v>
      </c>
      <c r="Q206" s="24" t="s">
        <v>5</v>
      </c>
      <c r="R206" s="24" t="s">
        <v>5</v>
      </c>
      <c r="S206" s="24">
        <f t="shared" ref="S206" si="823">IF(AND(ISBLANK(S204),ISBLANK(S205)),"A",IFERROR(+MOD(S205-S204,1),S203))</f>
        <v>0.375</v>
      </c>
      <c r="T206" s="24">
        <f t="shared" ref="T206:X206" si="824">IF(AND(ISBLANK(T204),ISBLANK(T205)),"A",IFERROR(+MOD(T205-T204,1),T203))</f>
        <v>0.8125</v>
      </c>
      <c r="U206" s="24">
        <f t="shared" si="824"/>
        <v>0.43055555555555558</v>
      </c>
      <c r="V206" s="24">
        <f t="shared" si="824"/>
        <v>0.1875</v>
      </c>
      <c r="W206" s="24" t="s">
        <v>5</v>
      </c>
      <c r="X206" s="24">
        <f t="shared" si="824"/>
        <v>0.41666666666666674</v>
      </c>
      <c r="Y206" s="24" t="s">
        <v>5</v>
      </c>
      <c r="Z206" s="24">
        <f t="shared" ref="Z206" si="825">IF(AND(ISBLANK(Z204),ISBLANK(Z205)),"A",IFERROR(+MOD(Z205-Z204,1),Z203))</f>
        <v>0.375</v>
      </c>
      <c r="AA206" s="24">
        <f t="shared" ref="AA206" si="826">IF(AND(ISBLANK(AA204),ISBLANK(AA205)),"A",IFERROR(+MOD(AA205-AA204,1),AA203))</f>
        <v>0.40277777777777779</v>
      </c>
      <c r="AB206" s="24">
        <f t="shared" ref="AB206" si="827">IF(AND(ISBLANK(AB204),ISBLANK(AB205)),"A",IFERROR(+MOD(AB205-AB204,1),AB203))</f>
        <v>0.48958333333333331</v>
      </c>
      <c r="AC206" s="24" t="s">
        <v>5</v>
      </c>
      <c r="AD206" s="24" t="s">
        <v>5</v>
      </c>
      <c r="AE206" s="24" t="s">
        <v>5</v>
      </c>
      <c r="AF206" s="24" t="s">
        <v>5</v>
      </c>
      <c r="AG206" s="24">
        <f t="shared" ref="AG206" si="828">IF(AND(ISBLANK(AG204),ISBLANK(AG205)),"A",IFERROR(+MOD(AG205-AG204,1),AG203))</f>
        <v>0.3611111111111111</v>
      </c>
      <c r="AH206" s="24">
        <f t="shared" ref="AH206" si="829">IF(AND(ISBLANK(AH204),ISBLANK(AH205)),"A",IFERROR(+MOD(AH205-AH204,1),AH203))</f>
        <v>0.63541666666666674</v>
      </c>
      <c r="AI206" s="24">
        <f t="shared" ref="AI206" si="830">IF(AND(ISBLANK(AI204),ISBLANK(AI205)),"A",IFERROR(+MOD(AI205-AI204,1),AI203))</f>
        <v>0.16666666666666663</v>
      </c>
      <c r="AJ206" s="24">
        <f t="shared" ref="AJ206" si="831">IF(AND(ISBLANK(AJ204),ISBLANK(AJ205)),"A",IFERROR(+MOD(AJ205-AJ204,1),AJ203))</f>
        <v>0.79861111111111116</v>
      </c>
      <c r="AK206" s="24">
        <f t="shared" ref="AK206" si="832">IF(AND(ISBLANK(AK204),ISBLANK(AK205)),"A",IFERROR(+MOD(AK205-AK204,1),AK203))</f>
        <v>0.41666666666666669</v>
      </c>
      <c r="AL206" s="24">
        <f t="shared" ref="AL206" si="833">IF(AND(ISBLANK(AL204),ISBLANK(AL205)),"A",IFERROR(+MOD(AL205-AL204,1),AL203))</f>
        <v>0.47916666666666669</v>
      </c>
      <c r="AM206" s="24" t="s">
        <v>5</v>
      </c>
      <c r="AN206" s="17">
        <f>COUNT(F206:AM206)</f>
        <v>20</v>
      </c>
      <c r="AO206" s="21"/>
    </row>
    <row r="207" spans="1:41">
      <c r="A207" s="8" t="s">
        <v>183</v>
      </c>
      <c r="B207" s="12" t="s">
        <v>237</v>
      </c>
      <c r="C207" s="8" t="s">
        <v>12</v>
      </c>
      <c r="D207" s="8" t="s">
        <v>157</v>
      </c>
      <c r="E207" s="8" t="s">
        <v>76</v>
      </c>
      <c r="F207" s="11">
        <v>45908</v>
      </c>
      <c r="G207" s="8" t="s">
        <v>32</v>
      </c>
      <c r="H207" s="12" t="s">
        <v>18</v>
      </c>
      <c r="I207" s="14" t="s">
        <v>4</v>
      </c>
      <c r="J207" s="2" t="s">
        <v>5</v>
      </c>
      <c r="K207" s="2" t="s">
        <v>5</v>
      </c>
      <c r="L207" s="2" t="s">
        <v>5</v>
      </c>
      <c r="M207" s="2" t="s">
        <v>5</v>
      </c>
      <c r="N207" s="2" t="s">
        <v>6</v>
      </c>
      <c r="O207" s="2" t="s">
        <v>5</v>
      </c>
      <c r="P207" s="2" t="s">
        <v>5</v>
      </c>
      <c r="Q207" s="2" t="s">
        <v>6</v>
      </c>
      <c r="R207" s="2" t="s">
        <v>5</v>
      </c>
      <c r="S207" s="2" t="s">
        <v>5</v>
      </c>
      <c r="T207" s="2" t="s">
        <v>5</v>
      </c>
      <c r="U207" s="2" t="s">
        <v>5</v>
      </c>
      <c r="V207" s="2" t="s">
        <v>6</v>
      </c>
      <c r="W207" s="2" t="s">
        <v>6</v>
      </c>
      <c r="X207" s="2" t="s">
        <v>6</v>
      </c>
      <c r="Y207" s="2" t="s">
        <v>5</v>
      </c>
      <c r="Z207" s="2" t="s">
        <v>6</v>
      </c>
      <c r="AA207" s="2" t="s">
        <v>5</v>
      </c>
      <c r="AB207" s="2" t="s">
        <v>6</v>
      </c>
      <c r="AC207" s="2" t="s">
        <v>6</v>
      </c>
      <c r="AD207" s="2" t="s">
        <v>5</v>
      </c>
      <c r="AE207" s="2" t="s">
        <v>6</v>
      </c>
      <c r="AF207" s="2" t="s">
        <v>5</v>
      </c>
      <c r="AG207" s="2" t="s">
        <v>5</v>
      </c>
      <c r="AH207" s="2" t="s">
        <v>6</v>
      </c>
      <c r="AI207" s="2" t="s">
        <v>5</v>
      </c>
      <c r="AJ207" s="2" t="s">
        <v>5</v>
      </c>
      <c r="AK207" s="2" t="s">
        <v>6</v>
      </c>
      <c r="AL207" s="2" t="s">
        <v>5</v>
      </c>
      <c r="AM207" s="2" t="s">
        <v>5</v>
      </c>
      <c r="AN207" s="20"/>
      <c r="AO207" s="12" t="s">
        <v>18</v>
      </c>
    </row>
    <row r="208" spans="1:41">
      <c r="A208" s="1" t="s">
        <v>183</v>
      </c>
      <c r="B208" s="12" t="s">
        <v>237</v>
      </c>
      <c r="C208" s="3" t="s">
        <v>12</v>
      </c>
      <c r="D208" s="3" t="s">
        <v>157</v>
      </c>
      <c r="E208" s="3" t="s">
        <v>76</v>
      </c>
      <c r="F208" s="6">
        <v>45908</v>
      </c>
      <c r="G208" s="5" t="s">
        <v>32</v>
      </c>
      <c r="H208" s="12" t="s">
        <v>18</v>
      </c>
      <c r="I208" s="7" t="s">
        <v>7</v>
      </c>
      <c r="J208" s="2" t="s">
        <v>5</v>
      </c>
      <c r="K208" s="2" t="s">
        <v>5</v>
      </c>
      <c r="L208" s="2" t="s">
        <v>5</v>
      </c>
      <c r="M208" s="2" t="s">
        <v>5</v>
      </c>
      <c r="N208" s="2">
        <v>0.45833333333333331</v>
      </c>
      <c r="O208" s="2" t="s">
        <v>5</v>
      </c>
      <c r="P208" s="2" t="s">
        <v>5</v>
      </c>
      <c r="Q208" s="2">
        <v>0.45833333333333331</v>
      </c>
      <c r="R208" s="2" t="s">
        <v>5</v>
      </c>
      <c r="S208" s="2" t="s">
        <v>5</v>
      </c>
      <c r="T208" s="2" t="s">
        <v>5</v>
      </c>
      <c r="U208" s="2" t="s">
        <v>5</v>
      </c>
      <c r="V208" s="2">
        <v>0.45833333333333331</v>
      </c>
      <c r="W208" s="2">
        <v>0.47916666666666669</v>
      </c>
      <c r="X208" s="2">
        <v>0.45833333333333331</v>
      </c>
      <c r="Y208" s="2" t="s">
        <v>5</v>
      </c>
      <c r="Z208" s="2">
        <v>0.45833333333333331</v>
      </c>
      <c r="AA208" s="2" t="s">
        <v>5</v>
      </c>
      <c r="AB208" s="2">
        <v>0.45833333333333331</v>
      </c>
      <c r="AC208" s="2">
        <v>0.45833333333333331</v>
      </c>
      <c r="AD208" s="2" t="s">
        <v>5</v>
      </c>
      <c r="AE208" s="2">
        <v>0.45833333333333331</v>
      </c>
      <c r="AF208" s="2" t="s">
        <v>5</v>
      </c>
      <c r="AG208" s="2" t="s">
        <v>5</v>
      </c>
      <c r="AH208" s="2">
        <v>0.49652777777777773</v>
      </c>
      <c r="AI208" s="2" t="s">
        <v>5</v>
      </c>
      <c r="AJ208" s="2" t="s">
        <v>5</v>
      </c>
      <c r="AK208" s="2">
        <v>0.45833333333333331</v>
      </c>
      <c r="AL208" s="2" t="s">
        <v>5</v>
      </c>
      <c r="AM208" s="2" t="s">
        <v>5</v>
      </c>
      <c r="AN208" s="20"/>
      <c r="AO208" s="12"/>
    </row>
    <row r="209" spans="1:41">
      <c r="A209" s="1" t="s">
        <v>183</v>
      </c>
      <c r="B209" s="12" t="s">
        <v>237</v>
      </c>
      <c r="C209" s="1" t="s">
        <v>12</v>
      </c>
      <c r="D209" s="1" t="s">
        <v>157</v>
      </c>
      <c r="E209" s="1" t="s">
        <v>76</v>
      </c>
      <c r="F209" s="6">
        <v>45908</v>
      </c>
      <c r="G209" s="1" t="s">
        <v>32</v>
      </c>
      <c r="H209" s="12" t="s">
        <v>18</v>
      </c>
      <c r="I209" s="7" t="s">
        <v>8</v>
      </c>
      <c r="J209" s="2" t="s">
        <v>5</v>
      </c>
      <c r="K209" s="2" t="s">
        <v>5</v>
      </c>
      <c r="L209" s="2" t="s">
        <v>5</v>
      </c>
      <c r="M209" s="2" t="s">
        <v>5</v>
      </c>
      <c r="N209" s="2">
        <v>0.875</v>
      </c>
      <c r="O209" s="2" t="s">
        <v>5</v>
      </c>
      <c r="P209" s="2" t="s">
        <v>5</v>
      </c>
      <c r="Q209" s="2">
        <v>0.83333333333333337</v>
      </c>
      <c r="R209" s="2" t="s">
        <v>5</v>
      </c>
      <c r="S209" s="2" t="s">
        <v>5</v>
      </c>
      <c r="T209" s="2" t="s">
        <v>5</v>
      </c>
      <c r="U209" s="2" t="s">
        <v>5</v>
      </c>
      <c r="V209" s="2">
        <v>0.83333333333333337</v>
      </c>
      <c r="W209" s="2">
        <v>0.875</v>
      </c>
      <c r="X209" s="2">
        <v>0.875</v>
      </c>
      <c r="Y209" s="2" t="s">
        <v>5</v>
      </c>
      <c r="Z209" s="2">
        <v>0.83333333333333337</v>
      </c>
      <c r="AA209" s="2" t="s">
        <v>5</v>
      </c>
      <c r="AB209" s="2">
        <v>0.83333333333333337</v>
      </c>
      <c r="AC209" s="2">
        <v>0.875</v>
      </c>
      <c r="AD209" s="2" t="s">
        <v>5</v>
      </c>
      <c r="AE209" s="2">
        <v>0.83333333333333337</v>
      </c>
      <c r="AF209" s="2" t="s">
        <v>5</v>
      </c>
      <c r="AG209" s="2" t="s">
        <v>5</v>
      </c>
      <c r="AH209" s="2">
        <v>0.83333333333333337</v>
      </c>
      <c r="AI209" s="2" t="s">
        <v>5</v>
      </c>
      <c r="AJ209" s="2" t="s">
        <v>5</v>
      </c>
      <c r="AK209" s="2">
        <v>0.70833333333333337</v>
      </c>
      <c r="AL209" s="2" t="s">
        <v>5</v>
      </c>
      <c r="AM209" s="2" t="s">
        <v>5</v>
      </c>
      <c r="AN209" s="20"/>
      <c r="AO209" s="12"/>
    </row>
    <row r="210" spans="1:41">
      <c r="A210" s="21" t="s">
        <v>183</v>
      </c>
      <c r="B210" s="21" t="s">
        <v>237</v>
      </c>
      <c r="C210" s="21" t="s">
        <v>12</v>
      </c>
      <c r="D210" s="21" t="s">
        <v>157</v>
      </c>
      <c r="E210" s="21" t="s">
        <v>76</v>
      </c>
      <c r="F210" s="22">
        <v>45908</v>
      </c>
      <c r="G210" s="21" t="s">
        <v>32</v>
      </c>
      <c r="H210" s="21" t="s">
        <v>18</v>
      </c>
      <c r="I210" s="25" t="s">
        <v>9</v>
      </c>
      <c r="J210" s="24" t="s">
        <v>5</v>
      </c>
      <c r="K210" s="24" t="s">
        <v>5</v>
      </c>
      <c r="L210" s="24" t="s">
        <v>5</v>
      </c>
      <c r="M210" s="24" t="s">
        <v>5</v>
      </c>
      <c r="N210" s="24">
        <f t="shared" ref="N210" si="834">IF(AND(ISBLANK(N208),ISBLANK(N209)),"A",IFERROR(+MOD(N209-N208,1),N207))</f>
        <v>0.41666666666666669</v>
      </c>
      <c r="O210" s="24" t="s">
        <v>5</v>
      </c>
      <c r="P210" s="24" t="s">
        <v>5</v>
      </c>
      <c r="Q210" s="24">
        <f t="shared" ref="Q210" si="835">IF(AND(ISBLANK(Q208),ISBLANK(Q209)),"A",IFERROR(+MOD(Q209-Q208,1),Q207))</f>
        <v>0.37500000000000006</v>
      </c>
      <c r="R210" s="24" t="s">
        <v>5</v>
      </c>
      <c r="S210" s="24" t="s">
        <v>5</v>
      </c>
      <c r="T210" s="24" t="s">
        <v>5</v>
      </c>
      <c r="U210" s="24" t="s">
        <v>5</v>
      </c>
      <c r="V210" s="24">
        <f t="shared" ref="V210" si="836">IF(AND(ISBLANK(V208),ISBLANK(V209)),"A",IFERROR(+MOD(V209-V208,1),V207))</f>
        <v>0.37500000000000006</v>
      </c>
      <c r="W210" s="24">
        <f t="shared" ref="W210" si="837">IF(AND(ISBLANK(W208),ISBLANK(W209)),"A",IFERROR(+MOD(W209-W208,1),W207))</f>
        <v>0.39583333333333331</v>
      </c>
      <c r="X210" s="24">
        <f t="shared" ref="X210" si="838">IF(AND(ISBLANK(X208),ISBLANK(X209)),"A",IFERROR(+MOD(X209-X208,1),X207))</f>
        <v>0.41666666666666669</v>
      </c>
      <c r="Y210" s="24" t="s">
        <v>5</v>
      </c>
      <c r="Z210" s="24">
        <f t="shared" ref="Z210:AB210" si="839">IF(AND(ISBLANK(Z208),ISBLANK(Z209)),"A",IFERROR(+MOD(Z209-Z208,1),Z207))</f>
        <v>0.37500000000000006</v>
      </c>
      <c r="AA210" s="24" t="s">
        <v>5</v>
      </c>
      <c r="AB210" s="24">
        <f t="shared" si="839"/>
        <v>0.37500000000000006</v>
      </c>
      <c r="AC210" s="24">
        <f t="shared" ref="AC210" si="840">IF(AND(ISBLANK(AC208),ISBLANK(AC209)),"A",IFERROR(+MOD(AC209-AC208,1),AC207))</f>
        <v>0.41666666666666669</v>
      </c>
      <c r="AD210" s="24" t="s">
        <v>5</v>
      </c>
      <c r="AE210" s="24">
        <f t="shared" ref="AE210" si="841">IF(AND(ISBLANK(AE208),ISBLANK(AE209)),"A",IFERROR(+MOD(AE209-AE208,1),AE207))</f>
        <v>0.37500000000000006</v>
      </c>
      <c r="AF210" s="24" t="s">
        <v>5</v>
      </c>
      <c r="AG210" s="24" t="s">
        <v>5</v>
      </c>
      <c r="AH210" s="24">
        <f t="shared" ref="AH210" si="842">IF(AND(ISBLANK(AH208),ISBLANK(AH209)),"A",IFERROR(+MOD(AH209-AH208,1),AH207))</f>
        <v>0.33680555555555564</v>
      </c>
      <c r="AI210" s="24" t="s">
        <v>5</v>
      </c>
      <c r="AJ210" s="24" t="s">
        <v>5</v>
      </c>
      <c r="AK210" s="24">
        <f t="shared" ref="AK210" si="843">IF(AND(ISBLANK(AK208),ISBLANK(AK209)),"A",IFERROR(+MOD(AK209-AK208,1),AK207))</f>
        <v>0.25000000000000006</v>
      </c>
      <c r="AL210" s="24" t="s">
        <v>5</v>
      </c>
      <c r="AM210" s="24" t="s">
        <v>5</v>
      </c>
      <c r="AN210" s="17">
        <f>COUNT(F210:AM210)</f>
        <v>12</v>
      </c>
      <c r="AO210" s="21"/>
    </row>
    <row r="211" spans="1:41">
      <c r="A211" s="8" t="s">
        <v>184</v>
      </c>
      <c r="B211" s="12" t="s">
        <v>237</v>
      </c>
      <c r="C211" s="8" t="s">
        <v>79</v>
      </c>
      <c r="D211" s="8" t="s">
        <v>157</v>
      </c>
      <c r="E211" s="8" t="s">
        <v>214</v>
      </c>
      <c r="F211" s="11">
        <v>45908</v>
      </c>
      <c r="G211" s="8" t="s">
        <v>32</v>
      </c>
      <c r="H211" s="12" t="s">
        <v>18</v>
      </c>
      <c r="I211" s="14" t="s">
        <v>4</v>
      </c>
      <c r="J211" s="2" t="s">
        <v>6</v>
      </c>
      <c r="K211" s="2" t="s">
        <v>5</v>
      </c>
      <c r="L211" s="2" t="s">
        <v>6</v>
      </c>
      <c r="M211" s="2" t="s">
        <v>6</v>
      </c>
      <c r="N211" s="2" t="s">
        <v>5</v>
      </c>
      <c r="O211" s="2" t="s">
        <v>6</v>
      </c>
      <c r="P211" s="2" t="s">
        <v>5</v>
      </c>
      <c r="Q211" s="2" t="s">
        <v>5</v>
      </c>
      <c r="R211" s="2" t="s">
        <v>5</v>
      </c>
      <c r="S211" s="2" t="s">
        <v>5</v>
      </c>
      <c r="T211" s="2" t="s">
        <v>6</v>
      </c>
      <c r="U211" s="2" t="s">
        <v>6</v>
      </c>
      <c r="V211" s="2" t="s">
        <v>6</v>
      </c>
      <c r="W211" s="2" t="s">
        <v>6</v>
      </c>
      <c r="X211" s="2" t="s">
        <v>6</v>
      </c>
      <c r="Y211" s="2" t="s">
        <v>5</v>
      </c>
      <c r="Z211" s="2" t="s">
        <v>6</v>
      </c>
      <c r="AA211" s="2" t="s">
        <v>6</v>
      </c>
      <c r="AB211" s="2" t="s">
        <v>6</v>
      </c>
      <c r="AC211" s="2" t="s">
        <v>6</v>
      </c>
      <c r="AD211" s="2" t="s">
        <v>6</v>
      </c>
      <c r="AE211" s="2" t="s">
        <v>5</v>
      </c>
      <c r="AF211" s="2" t="s">
        <v>5</v>
      </c>
      <c r="AG211" s="2" t="s">
        <v>6</v>
      </c>
      <c r="AH211" s="2" t="s">
        <v>6</v>
      </c>
      <c r="AI211" s="2" t="s">
        <v>6</v>
      </c>
      <c r="AJ211" s="2" t="s">
        <v>5</v>
      </c>
      <c r="AK211" s="2" t="s">
        <v>6</v>
      </c>
      <c r="AL211" s="2" t="s">
        <v>5</v>
      </c>
      <c r="AM211" s="2" t="s">
        <v>5</v>
      </c>
      <c r="AN211" s="20"/>
      <c r="AO211" s="12" t="s">
        <v>18</v>
      </c>
    </row>
    <row r="212" spans="1:41">
      <c r="A212" s="1" t="s">
        <v>184</v>
      </c>
      <c r="B212" s="12" t="s">
        <v>237</v>
      </c>
      <c r="C212" s="3" t="s">
        <v>79</v>
      </c>
      <c r="D212" s="3" t="s">
        <v>157</v>
      </c>
      <c r="E212" s="8" t="s">
        <v>214</v>
      </c>
      <c r="F212" s="6">
        <v>45908</v>
      </c>
      <c r="G212" s="5" t="s">
        <v>32</v>
      </c>
      <c r="H212" s="12" t="s">
        <v>18</v>
      </c>
      <c r="I212" s="7" t="s">
        <v>7</v>
      </c>
      <c r="J212" s="2">
        <v>0.45833333333333331</v>
      </c>
      <c r="K212" s="2" t="s">
        <v>5</v>
      </c>
      <c r="L212" s="2">
        <v>0.45833333333333331</v>
      </c>
      <c r="M212" s="2">
        <v>0.45833333333333331</v>
      </c>
      <c r="N212" s="2" t="s">
        <v>5</v>
      </c>
      <c r="O212" s="2">
        <v>0.45833333333333331</v>
      </c>
      <c r="P212" s="2" t="s">
        <v>5</v>
      </c>
      <c r="Q212" s="2" t="s">
        <v>5</v>
      </c>
      <c r="R212" s="2" t="s">
        <v>5</v>
      </c>
      <c r="S212" s="2" t="s">
        <v>5</v>
      </c>
      <c r="T212" s="2">
        <v>0.45833333333333331</v>
      </c>
      <c r="U212" s="2">
        <v>0.45833333333333331</v>
      </c>
      <c r="V212" s="2">
        <v>0.45833333333333331</v>
      </c>
      <c r="W212" s="2">
        <v>0.45833333333333331</v>
      </c>
      <c r="X212" s="2">
        <v>0.45833333333333331</v>
      </c>
      <c r="Y212" s="2" t="s">
        <v>5</v>
      </c>
      <c r="Z212" s="2">
        <v>0.45833333333333331</v>
      </c>
      <c r="AA212" s="2">
        <v>0.45833333333333331</v>
      </c>
      <c r="AB212" s="2">
        <v>0.45833333333333331</v>
      </c>
      <c r="AC212" s="2">
        <v>0.45833333333333331</v>
      </c>
      <c r="AD212" s="2">
        <v>0.45833333333333331</v>
      </c>
      <c r="AE212" s="2" t="s">
        <v>5</v>
      </c>
      <c r="AF212" s="2" t="s">
        <v>5</v>
      </c>
      <c r="AG212" s="2">
        <v>0.45833333333333331</v>
      </c>
      <c r="AH212" s="2">
        <v>0.45833333333333331</v>
      </c>
      <c r="AI212" s="2">
        <v>0.45833333333333331</v>
      </c>
      <c r="AJ212" s="2" t="s">
        <v>5</v>
      </c>
      <c r="AK212" s="2">
        <v>0.45833333333333331</v>
      </c>
      <c r="AL212" s="2" t="s">
        <v>5</v>
      </c>
      <c r="AM212" s="2" t="s">
        <v>5</v>
      </c>
      <c r="AN212" s="20"/>
      <c r="AO212" s="12"/>
    </row>
    <row r="213" spans="1:41">
      <c r="A213" s="1" t="s">
        <v>184</v>
      </c>
      <c r="B213" s="12" t="s">
        <v>237</v>
      </c>
      <c r="C213" s="1" t="s">
        <v>79</v>
      </c>
      <c r="D213" s="1" t="s">
        <v>157</v>
      </c>
      <c r="E213" s="8" t="s">
        <v>214</v>
      </c>
      <c r="F213" s="6">
        <v>45908</v>
      </c>
      <c r="G213" s="1" t="s">
        <v>32</v>
      </c>
      <c r="H213" s="12" t="s">
        <v>18</v>
      </c>
      <c r="I213" s="7" t="s">
        <v>8</v>
      </c>
      <c r="J213" s="2">
        <v>0.875</v>
      </c>
      <c r="K213" s="2" t="s">
        <v>5</v>
      </c>
      <c r="L213" s="2">
        <v>0.875</v>
      </c>
      <c r="M213" s="2">
        <v>0.875</v>
      </c>
      <c r="N213" s="2" t="s">
        <v>5</v>
      </c>
      <c r="O213" s="2">
        <v>0.875</v>
      </c>
      <c r="P213" s="2" t="s">
        <v>5</v>
      </c>
      <c r="Q213" s="2" t="s">
        <v>5</v>
      </c>
      <c r="R213" s="2" t="s">
        <v>5</v>
      </c>
      <c r="S213" s="2" t="s">
        <v>5</v>
      </c>
      <c r="T213" s="2">
        <v>0.875</v>
      </c>
      <c r="U213" s="2">
        <v>0.83333333333333337</v>
      </c>
      <c r="V213" s="2">
        <v>0.875</v>
      </c>
      <c r="W213" s="2">
        <v>0.875</v>
      </c>
      <c r="X213" s="2">
        <v>0.875</v>
      </c>
      <c r="Y213" s="2" t="s">
        <v>5</v>
      </c>
      <c r="Z213" s="2">
        <v>0.875</v>
      </c>
      <c r="AA213" s="2">
        <v>0.875</v>
      </c>
      <c r="AB213" s="2">
        <v>0.875</v>
      </c>
      <c r="AC213" s="2">
        <v>0.875</v>
      </c>
      <c r="AD213" s="2">
        <v>0.83333333333333337</v>
      </c>
      <c r="AE213" s="2" t="s">
        <v>5</v>
      </c>
      <c r="AF213" s="2" t="s">
        <v>5</v>
      </c>
      <c r="AG213" s="2">
        <v>0.83333333333333337</v>
      </c>
      <c r="AH213" s="2">
        <v>0.83333333333333337</v>
      </c>
      <c r="AI213" s="2">
        <v>0.83333333333333337</v>
      </c>
      <c r="AJ213" s="2" t="s">
        <v>5</v>
      </c>
      <c r="AK213" s="2">
        <v>0.70833333333333337</v>
      </c>
      <c r="AL213" s="2" t="s">
        <v>5</v>
      </c>
      <c r="AM213" s="2" t="s">
        <v>5</v>
      </c>
      <c r="AN213" s="20"/>
      <c r="AO213" s="12"/>
    </row>
    <row r="214" spans="1:41">
      <c r="A214" s="21" t="s">
        <v>184</v>
      </c>
      <c r="B214" s="21" t="s">
        <v>237</v>
      </c>
      <c r="C214" s="21" t="s">
        <v>79</v>
      </c>
      <c r="D214" s="21" t="s">
        <v>157</v>
      </c>
      <c r="E214" s="21" t="s">
        <v>214</v>
      </c>
      <c r="F214" s="22">
        <v>45908</v>
      </c>
      <c r="G214" s="21" t="s">
        <v>32</v>
      </c>
      <c r="H214" s="21" t="s">
        <v>18</v>
      </c>
      <c r="I214" s="25" t="s">
        <v>9</v>
      </c>
      <c r="J214" s="24">
        <f>IF(AND(ISBLANK(J212),ISBLANK(J213)),"A",IFERROR(+MOD(J213-J212,1),J211))</f>
        <v>0.41666666666666669</v>
      </c>
      <c r="K214" s="24" t="s">
        <v>5</v>
      </c>
      <c r="L214" s="24">
        <f t="shared" ref="L214" si="844">IF(AND(ISBLANK(L212),ISBLANK(L213)),"A",IFERROR(+MOD(L213-L212,1),L211))</f>
        <v>0.41666666666666669</v>
      </c>
      <c r="M214" s="24">
        <f t="shared" ref="M214:O214" si="845">IF(AND(ISBLANK(M212),ISBLANK(M213)),"A",IFERROR(+MOD(M213-M212,1),M211))</f>
        <v>0.41666666666666669</v>
      </c>
      <c r="N214" s="24" t="s">
        <v>5</v>
      </c>
      <c r="O214" s="24">
        <f t="shared" si="845"/>
        <v>0.41666666666666669</v>
      </c>
      <c r="P214" s="24" t="s">
        <v>5</v>
      </c>
      <c r="Q214" s="24" t="s">
        <v>5</v>
      </c>
      <c r="R214" s="24" t="s">
        <v>5</v>
      </c>
      <c r="S214" s="24" t="s">
        <v>5</v>
      </c>
      <c r="T214" s="24">
        <f t="shared" ref="T214" si="846">IF(AND(ISBLANK(T212),ISBLANK(T213)),"A",IFERROR(+MOD(T213-T212,1),T211))</f>
        <v>0.41666666666666669</v>
      </c>
      <c r="U214" s="24">
        <f t="shared" ref="U214" si="847">IF(AND(ISBLANK(U212),ISBLANK(U213)),"A",IFERROR(+MOD(U213-U212,1),U211))</f>
        <v>0.37500000000000006</v>
      </c>
      <c r="V214" s="24">
        <f t="shared" ref="V214" si="848">IF(AND(ISBLANK(V212),ISBLANK(V213)),"A",IFERROR(+MOD(V213-V212,1),V211))</f>
        <v>0.41666666666666669</v>
      </c>
      <c r="W214" s="24">
        <f t="shared" ref="W214" si="849">IF(AND(ISBLANK(W212),ISBLANK(W213)),"A",IFERROR(+MOD(W213-W212,1),W211))</f>
        <v>0.41666666666666669</v>
      </c>
      <c r="X214" s="24">
        <f t="shared" ref="X214" si="850">IF(AND(ISBLANK(X212),ISBLANK(X213)),"A",IFERROR(+MOD(X213-X212,1),X211))</f>
        <v>0.41666666666666669</v>
      </c>
      <c r="Y214" s="24" t="s">
        <v>5</v>
      </c>
      <c r="Z214" s="24">
        <f t="shared" ref="Z214" si="851">IF(AND(ISBLANK(Z212),ISBLANK(Z213)),"A",IFERROR(+MOD(Z213-Z212,1),Z211))</f>
        <v>0.41666666666666669</v>
      </c>
      <c r="AA214" s="24">
        <f t="shared" ref="AA214" si="852">IF(AND(ISBLANK(AA212),ISBLANK(AA213)),"A",IFERROR(+MOD(AA213-AA212,1),AA211))</f>
        <v>0.41666666666666669</v>
      </c>
      <c r="AB214" s="24">
        <f t="shared" ref="AB214" si="853">IF(AND(ISBLANK(AB212),ISBLANK(AB213)),"A",IFERROR(+MOD(AB213-AB212,1),AB211))</f>
        <v>0.41666666666666669</v>
      </c>
      <c r="AC214" s="24">
        <f t="shared" ref="AC214" si="854">IF(AND(ISBLANK(AC212),ISBLANK(AC213)),"A",IFERROR(+MOD(AC213-AC212,1),AC211))</f>
        <v>0.41666666666666669</v>
      </c>
      <c r="AD214" s="24">
        <f t="shared" ref="AD214" si="855">IF(AND(ISBLANK(AD212),ISBLANK(AD213)),"A",IFERROR(+MOD(AD213-AD212,1),AD211))</f>
        <v>0.37500000000000006</v>
      </c>
      <c r="AE214" s="24" t="s">
        <v>5</v>
      </c>
      <c r="AF214" s="24" t="s">
        <v>5</v>
      </c>
      <c r="AG214" s="24">
        <f t="shared" ref="AG214" si="856">IF(AND(ISBLANK(AG212),ISBLANK(AG213)),"A",IFERROR(+MOD(AG213-AG212,1),AG211))</f>
        <v>0.37500000000000006</v>
      </c>
      <c r="AH214" s="24">
        <f t="shared" ref="AH214" si="857">IF(AND(ISBLANK(AH212),ISBLANK(AH213)),"A",IFERROR(+MOD(AH213-AH212,1),AH211))</f>
        <v>0.37500000000000006</v>
      </c>
      <c r="AI214" s="24">
        <f t="shared" ref="AI214" si="858">IF(AND(ISBLANK(AI212),ISBLANK(AI213)),"A",IFERROR(+MOD(AI213-AI212,1),AI211))</f>
        <v>0.37500000000000006</v>
      </c>
      <c r="AJ214" s="24" t="s">
        <v>5</v>
      </c>
      <c r="AK214" s="24">
        <f t="shared" ref="AK214" si="859">IF(AND(ISBLANK(AK212),ISBLANK(AK213)),"A",IFERROR(+MOD(AK213-AK212,1),AK211))</f>
        <v>0.25000000000000006</v>
      </c>
      <c r="AL214" s="24" t="s">
        <v>5</v>
      </c>
      <c r="AM214" s="24" t="s">
        <v>5</v>
      </c>
      <c r="AN214" s="17">
        <f>COUNT(F214:AM214)</f>
        <v>19</v>
      </c>
      <c r="AO214" s="21"/>
    </row>
    <row r="215" spans="1:41">
      <c r="A215" s="8" t="s">
        <v>185</v>
      </c>
      <c r="B215" s="12" t="s">
        <v>237</v>
      </c>
      <c r="C215" s="8" t="s">
        <v>188</v>
      </c>
      <c r="D215" s="8" t="s">
        <v>157</v>
      </c>
      <c r="E215" s="8" t="s">
        <v>189</v>
      </c>
      <c r="F215" s="11">
        <v>45908</v>
      </c>
      <c r="G215" s="8" t="s">
        <v>32</v>
      </c>
      <c r="H215" s="12" t="s">
        <v>18</v>
      </c>
      <c r="I215" s="14" t="s">
        <v>4</v>
      </c>
      <c r="J215" s="2" t="s">
        <v>6</v>
      </c>
      <c r="K215" s="2" t="s">
        <v>5</v>
      </c>
      <c r="L215" s="2" t="s">
        <v>6</v>
      </c>
      <c r="M215" s="2" t="s">
        <v>6</v>
      </c>
      <c r="N215" s="2" t="s">
        <v>6</v>
      </c>
      <c r="O215" s="2" t="s">
        <v>6</v>
      </c>
      <c r="P215" s="2" t="s">
        <v>6</v>
      </c>
      <c r="Q215" s="2" t="s">
        <v>6</v>
      </c>
      <c r="R215" s="2" t="s">
        <v>5</v>
      </c>
      <c r="S215" s="2" t="s">
        <v>6</v>
      </c>
      <c r="T215" s="2" t="s">
        <v>5</v>
      </c>
      <c r="U215" s="2" t="s">
        <v>6</v>
      </c>
      <c r="V215" s="2" t="s">
        <v>6</v>
      </c>
      <c r="W215" s="2" t="s">
        <v>6</v>
      </c>
      <c r="X215" s="2" t="s">
        <v>6</v>
      </c>
      <c r="Y215" s="2" t="s">
        <v>5</v>
      </c>
      <c r="Z215" s="2" t="s">
        <v>6</v>
      </c>
      <c r="AA215" s="2" t="s">
        <v>6</v>
      </c>
      <c r="AB215" s="2" t="s">
        <v>6</v>
      </c>
      <c r="AC215" s="2" t="s">
        <v>6</v>
      </c>
      <c r="AD215" s="2" t="s">
        <v>5</v>
      </c>
      <c r="AE215" s="2" t="s">
        <v>5</v>
      </c>
      <c r="AF215" s="2" t="s">
        <v>5</v>
      </c>
      <c r="AG215" s="2" t="s">
        <v>5</v>
      </c>
      <c r="AH215" s="2" t="s">
        <v>5</v>
      </c>
      <c r="AI215" s="2" t="s">
        <v>5</v>
      </c>
      <c r="AJ215" s="2" t="s">
        <v>5</v>
      </c>
      <c r="AK215" s="2" t="s">
        <v>5</v>
      </c>
      <c r="AL215" s="2" t="s">
        <v>5</v>
      </c>
      <c r="AM215" s="2" t="s">
        <v>5</v>
      </c>
      <c r="AN215" s="20"/>
      <c r="AO215" s="12" t="s">
        <v>18</v>
      </c>
    </row>
    <row r="216" spans="1:41">
      <c r="A216" s="1" t="s">
        <v>185</v>
      </c>
      <c r="B216" s="12" t="s">
        <v>237</v>
      </c>
      <c r="C216" s="3" t="s">
        <v>188</v>
      </c>
      <c r="D216" s="8" t="s">
        <v>157</v>
      </c>
      <c r="E216" s="3" t="s">
        <v>189</v>
      </c>
      <c r="F216" s="6">
        <v>45908</v>
      </c>
      <c r="G216" s="5" t="s">
        <v>32</v>
      </c>
      <c r="H216" s="12" t="s">
        <v>18</v>
      </c>
      <c r="I216" s="7" t="s">
        <v>7</v>
      </c>
      <c r="J216" s="2">
        <v>0.45833333333333331</v>
      </c>
      <c r="K216" s="2" t="s">
        <v>5</v>
      </c>
      <c r="L216" s="2">
        <v>0.45833333333333331</v>
      </c>
      <c r="M216" s="2">
        <v>0.45833333333333331</v>
      </c>
      <c r="N216" s="2">
        <v>0.45833333333333331</v>
      </c>
      <c r="O216" s="2">
        <v>0.45833333333333331</v>
      </c>
      <c r="P216" s="2">
        <v>0.45833333333333331</v>
      </c>
      <c r="Q216" s="2">
        <v>0.45833333333333331</v>
      </c>
      <c r="R216" s="2" t="s">
        <v>5</v>
      </c>
      <c r="S216" s="2">
        <v>0.45833333333333331</v>
      </c>
      <c r="T216" s="2" t="s">
        <v>5</v>
      </c>
      <c r="U216" s="2">
        <v>0.45833333333333331</v>
      </c>
      <c r="V216" s="2">
        <v>0.45833333333333331</v>
      </c>
      <c r="W216" s="2">
        <v>0.45833333333333331</v>
      </c>
      <c r="X216" s="2">
        <v>0.45833333333333331</v>
      </c>
      <c r="Y216" s="2" t="s">
        <v>5</v>
      </c>
      <c r="Z216" s="2">
        <v>0.45833333333333331</v>
      </c>
      <c r="AA216" s="2">
        <v>0.45833333333333331</v>
      </c>
      <c r="AB216" s="2">
        <v>0.45833333333333331</v>
      </c>
      <c r="AC216" s="2">
        <v>0.45833333333333331</v>
      </c>
      <c r="AD216" s="2" t="s">
        <v>5</v>
      </c>
      <c r="AE216" s="2" t="s">
        <v>5</v>
      </c>
      <c r="AF216" s="2" t="s">
        <v>5</v>
      </c>
      <c r="AG216" s="2" t="s">
        <v>5</v>
      </c>
      <c r="AH216" s="2" t="s">
        <v>5</v>
      </c>
      <c r="AI216" s="2" t="s">
        <v>5</v>
      </c>
      <c r="AJ216" s="2" t="s">
        <v>5</v>
      </c>
      <c r="AK216" s="2" t="s">
        <v>5</v>
      </c>
      <c r="AL216" s="2" t="s">
        <v>5</v>
      </c>
      <c r="AM216" s="2" t="s">
        <v>5</v>
      </c>
      <c r="AN216" s="20"/>
      <c r="AO216" s="12"/>
    </row>
    <row r="217" spans="1:41">
      <c r="A217" s="1" t="s">
        <v>185</v>
      </c>
      <c r="B217" s="12" t="s">
        <v>237</v>
      </c>
      <c r="C217" s="1" t="s">
        <v>188</v>
      </c>
      <c r="D217" s="8" t="s">
        <v>157</v>
      </c>
      <c r="E217" s="1" t="s">
        <v>189</v>
      </c>
      <c r="F217" s="6">
        <v>45908</v>
      </c>
      <c r="G217" s="1" t="s">
        <v>32</v>
      </c>
      <c r="H217" s="12" t="s">
        <v>18</v>
      </c>
      <c r="I217" s="7" t="s">
        <v>8</v>
      </c>
      <c r="J217" s="2">
        <v>0.875</v>
      </c>
      <c r="K217" s="2" t="s">
        <v>5</v>
      </c>
      <c r="L217" s="2">
        <v>0.875</v>
      </c>
      <c r="M217" s="2">
        <v>0.83333333333333337</v>
      </c>
      <c r="N217" s="2">
        <v>0.875</v>
      </c>
      <c r="O217" s="2">
        <v>0.875</v>
      </c>
      <c r="P217" s="2">
        <v>0.83333333333333337</v>
      </c>
      <c r="Q217" s="2">
        <v>0.83333333333333337</v>
      </c>
      <c r="R217" s="2" t="s">
        <v>5</v>
      </c>
      <c r="S217" s="2">
        <v>0.83333333333333337</v>
      </c>
      <c r="T217" s="2" t="s">
        <v>5</v>
      </c>
      <c r="U217" s="2">
        <v>0.83333333333333337</v>
      </c>
      <c r="V217" s="2">
        <v>0.875</v>
      </c>
      <c r="W217" s="2">
        <v>0.875</v>
      </c>
      <c r="X217" s="2">
        <v>0.875</v>
      </c>
      <c r="Y217" s="2" t="s">
        <v>5</v>
      </c>
      <c r="Z217" s="2">
        <v>0.875</v>
      </c>
      <c r="AA217" s="2">
        <v>0.83333333333333337</v>
      </c>
      <c r="AB217" s="2">
        <v>0.83333333333333337</v>
      </c>
      <c r="AC217" s="2">
        <v>0.875</v>
      </c>
      <c r="AD217" s="2" t="s">
        <v>5</v>
      </c>
      <c r="AE217" s="2" t="s">
        <v>5</v>
      </c>
      <c r="AF217" s="2" t="s">
        <v>5</v>
      </c>
      <c r="AG217" s="2" t="s">
        <v>5</v>
      </c>
      <c r="AH217" s="2" t="s">
        <v>5</v>
      </c>
      <c r="AI217" s="2" t="s">
        <v>5</v>
      </c>
      <c r="AJ217" s="2" t="s">
        <v>5</v>
      </c>
      <c r="AK217" s="2" t="s">
        <v>5</v>
      </c>
      <c r="AL217" s="2" t="s">
        <v>5</v>
      </c>
      <c r="AM217" s="2" t="s">
        <v>5</v>
      </c>
      <c r="AN217" s="20"/>
      <c r="AO217" s="12"/>
    </row>
    <row r="218" spans="1:41">
      <c r="A218" s="21" t="s">
        <v>185</v>
      </c>
      <c r="B218" s="21" t="s">
        <v>237</v>
      </c>
      <c r="C218" s="21" t="s">
        <v>188</v>
      </c>
      <c r="D218" s="21" t="s">
        <v>157</v>
      </c>
      <c r="E218" s="21" t="s">
        <v>189</v>
      </c>
      <c r="F218" s="22">
        <v>45908</v>
      </c>
      <c r="G218" s="21" t="s">
        <v>32</v>
      </c>
      <c r="H218" s="21" t="s">
        <v>18</v>
      </c>
      <c r="I218" s="25" t="s">
        <v>9</v>
      </c>
      <c r="J218" s="24">
        <f>IF(AND(ISBLANK(J216),ISBLANK(J217)),"A",IFERROR(+MOD(J217-J216,1),J215))</f>
        <v>0.41666666666666669</v>
      </c>
      <c r="K218" s="24" t="s">
        <v>5</v>
      </c>
      <c r="L218" s="24">
        <f t="shared" ref="L218" si="860">IF(AND(ISBLANK(L216),ISBLANK(L217)),"A",IFERROR(+MOD(L217-L216,1),L215))</f>
        <v>0.41666666666666669</v>
      </c>
      <c r="M218" s="24">
        <f t="shared" ref="M218" si="861">IF(AND(ISBLANK(M216),ISBLANK(M217)),"A",IFERROR(+MOD(M217-M216,1),M215))</f>
        <v>0.37500000000000006</v>
      </c>
      <c r="N218" s="24">
        <f t="shared" ref="N218:O218" si="862">IF(AND(ISBLANK(N216),ISBLANK(N217)),"A",IFERROR(+MOD(N217-N216,1),N215))</f>
        <v>0.41666666666666669</v>
      </c>
      <c r="O218" s="24">
        <f t="shared" si="862"/>
        <v>0.41666666666666669</v>
      </c>
      <c r="P218" s="24">
        <f t="shared" ref="P218:Q218" si="863">IF(AND(ISBLANK(P216),ISBLANK(P217)),"A",IFERROR(+MOD(P217-P216,1),P215))</f>
        <v>0.37500000000000006</v>
      </c>
      <c r="Q218" s="24">
        <f t="shared" si="863"/>
        <v>0.37500000000000006</v>
      </c>
      <c r="R218" s="24" t="s">
        <v>5</v>
      </c>
      <c r="S218" s="24">
        <f t="shared" ref="S218:U218" si="864">IF(AND(ISBLANK(S216),ISBLANK(S217)),"A",IFERROR(+MOD(S217-S216,1),S215))</f>
        <v>0.37500000000000006</v>
      </c>
      <c r="T218" s="24" t="s">
        <v>5</v>
      </c>
      <c r="U218" s="24">
        <f t="shared" si="864"/>
        <v>0.37500000000000006</v>
      </c>
      <c r="V218" s="24">
        <f t="shared" ref="V218" si="865">IF(AND(ISBLANK(V216),ISBLANK(V217)),"A",IFERROR(+MOD(V217-V216,1),V215))</f>
        <v>0.41666666666666669</v>
      </c>
      <c r="W218" s="24">
        <f t="shared" ref="W218" si="866">IF(AND(ISBLANK(W216),ISBLANK(W217)),"A",IFERROR(+MOD(W217-W216,1),W215))</f>
        <v>0.41666666666666669</v>
      </c>
      <c r="X218" s="24">
        <f t="shared" ref="X218" si="867">IF(AND(ISBLANK(X216),ISBLANK(X217)),"A",IFERROR(+MOD(X217-X216,1),X215))</f>
        <v>0.41666666666666669</v>
      </c>
      <c r="Y218" s="24" t="s">
        <v>5</v>
      </c>
      <c r="Z218" s="24">
        <f t="shared" ref="Z218" si="868">IF(AND(ISBLANK(Z216),ISBLANK(Z217)),"A",IFERROR(+MOD(Z217-Z216,1),Z215))</f>
        <v>0.41666666666666669</v>
      </c>
      <c r="AA218" s="24">
        <f t="shared" ref="AA218" si="869">IF(AND(ISBLANK(AA216),ISBLANK(AA217)),"A",IFERROR(+MOD(AA217-AA216,1),AA215))</f>
        <v>0.37500000000000006</v>
      </c>
      <c r="AB218" s="24">
        <f t="shared" ref="AB218" si="870">IF(AND(ISBLANK(AB216),ISBLANK(AB217)),"A",IFERROR(+MOD(AB217-AB216,1),AB215))</f>
        <v>0.37500000000000006</v>
      </c>
      <c r="AC218" s="24">
        <f t="shared" ref="AC218" si="871">IF(AND(ISBLANK(AC216),ISBLANK(AC217)),"A",IFERROR(+MOD(AC217-AC216,1),AC215))</f>
        <v>0.41666666666666669</v>
      </c>
      <c r="AD218" s="24" t="s">
        <v>5</v>
      </c>
      <c r="AE218" s="24" t="s">
        <v>5</v>
      </c>
      <c r="AF218" s="24" t="s">
        <v>5</v>
      </c>
      <c r="AG218" s="24" t="s">
        <v>5</v>
      </c>
      <c r="AH218" s="24" t="s">
        <v>5</v>
      </c>
      <c r="AI218" s="24" t="s">
        <v>5</v>
      </c>
      <c r="AJ218" s="24" t="s">
        <v>5</v>
      </c>
      <c r="AK218" s="24" t="s">
        <v>5</v>
      </c>
      <c r="AL218" s="24" t="s">
        <v>5</v>
      </c>
      <c r="AM218" s="24" t="s">
        <v>5</v>
      </c>
      <c r="AN218" s="17">
        <f>COUNT(F218:AM218)</f>
        <v>17</v>
      </c>
      <c r="AO218" s="21"/>
    </row>
    <row r="219" spans="1:41">
      <c r="A219" s="8" t="s">
        <v>186</v>
      </c>
      <c r="B219" s="12" t="s">
        <v>229</v>
      </c>
      <c r="C219" s="15" t="s">
        <v>57</v>
      </c>
      <c r="D219" s="8" t="s">
        <v>212</v>
      </c>
      <c r="E219" s="8" t="s">
        <v>190</v>
      </c>
      <c r="F219" s="11">
        <v>45907</v>
      </c>
      <c r="G219" s="8" t="s">
        <v>32</v>
      </c>
      <c r="H219" s="12" t="s">
        <v>18</v>
      </c>
      <c r="I219" s="14" t="s">
        <v>4</v>
      </c>
      <c r="J219" s="2" t="s">
        <v>6</v>
      </c>
      <c r="K219" s="2" t="s">
        <v>5</v>
      </c>
      <c r="L219" s="2" t="s">
        <v>6</v>
      </c>
      <c r="M219" s="2" t="s">
        <v>6</v>
      </c>
      <c r="N219" s="2" t="s">
        <v>6</v>
      </c>
      <c r="O219" s="2" t="s">
        <v>6</v>
      </c>
      <c r="P219" s="2" t="s">
        <v>6</v>
      </c>
      <c r="Q219" s="2" t="s">
        <v>5</v>
      </c>
      <c r="R219" s="2" t="s">
        <v>5</v>
      </c>
      <c r="S219" s="2" t="s">
        <v>5</v>
      </c>
      <c r="T219" s="2" t="s">
        <v>5</v>
      </c>
      <c r="U219" s="2" t="s">
        <v>5</v>
      </c>
      <c r="V219" s="2" t="s">
        <v>5</v>
      </c>
      <c r="W219" s="2" t="s">
        <v>5</v>
      </c>
      <c r="X219" s="2" t="s">
        <v>5</v>
      </c>
      <c r="Y219" s="2" t="s">
        <v>5</v>
      </c>
      <c r="Z219" s="2" t="s">
        <v>5</v>
      </c>
      <c r="AA219" s="2" t="s">
        <v>6</v>
      </c>
      <c r="AB219" s="2" t="s">
        <v>6</v>
      </c>
      <c r="AC219" s="2" t="s">
        <v>6</v>
      </c>
      <c r="AD219" s="2" t="s">
        <v>6</v>
      </c>
      <c r="AE219" s="2" t="s">
        <v>6</v>
      </c>
      <c r="AF219" s="2" t="s">
        <v>5</v>
      </c>
      <c r="AG219" s="2" t="s">
        <v>6</v>
      </c>
      <c r="AH219" s="2" t="s">
        <v>6</v>
      </c>
      <c r="AI219" s="2" t="s">
        <v>6</v>
      </c>
      <c r="AJ219" s="2" t="s">
        <v>6</v>
      </c>
      <c r="AK219" s="2" t="s">
        <v>6</v>
      </c>
      <c r="AL219" s="2" t="s">
        <v>6</v>
      </c>
      <c r="AM219" s="2" t="s">
        <v>6</v>
      </c>
      <c r="AN219" s="20"/>
      <c r="AO219" s="12" t="s">
        <v>18</v>
      </c>
    </row>
    <row r="220" spans="1:41">
      <c r="A220" s="1" t="s">
        <v>186</v>
      </c>
      <c r="B220" s="12" t="s">
        <v>229</v>
      </c>
      <c r="C220" s="16" t="s">
        <v>57</v>
      </c>
      <c r="D220" s="8" t="s">
        <v>212</v>
      </c>
      <c r="E220" s="3" t="s">
        <v>190</v>
      </c>
      <c r="F220" s="6">
        <v>45907</v>
      </c>
      <c r="G220" s="5" t="s">
        <v>32</v>
      </c>
      <c r="H220" s="12" t="s">
        <v>18</v>
      </c>
      <c r="I220" s="7" t="s">
        <v>7</v>
      </c>
      <c r="J220" s="2">
        <v>0.375</v>
      </c>
      <c r="K220" s="2" t="s">
        <v>5</v>
      </c>
      <c r="L220" s="2">
        <v>0.375</v>
      </c>
      <c r="M220" s="2">
        <v>0.375</v>
      </c>
      <c r="N220" s="2">
        <v>0.375</v>
      </c>
      <c r="O220" s="2">
        <v>0.375</v>
      </c>
      <c r="P220" s="2">
        <v>0.375</v>
      </c>
      <c r="Q220" s="2" t="s">
        <v>5</v>
      </c>
      <c r="R220" s="2" t="s">
        <v>5</v>
      </c>
      <c r="S220" s="2" t="s">
        <v>5</v>
      </c>
      <c r="T220" s="2" t="s">
        <v>5</v>
      </c>
      <c r="U220" s="2" t="s">
        <v>5</v>
      </c>
      <c r="V220" s="2" t="s">
        <v>5</v>
      </c>
      <c r="W220" s="2" t="s">
        <v>5</v>
      </c>
      <c r="X220" s="2" t="s">
        <v>5</v>
      </c>
      <c r="Y220" s="2" t="s">
        <v>5</v>
      </c>
      <c r="Z220" s="2" t="s">
        <v>5</v>
      </c>
      <c r="AA220" s="2">
        <v>0.375</v>
      </c>
      <c r="AB220" s="2">
        <v>0.375</v>
      </c>
      <c r="AC220" s="2">
        <v>0.375</v>
      </c>
      <c r="AD220" s="2">
        <v>0.38194444444444442</v>
      </c>
      <c r="AE220" s="2">
        <v>0.39583333333333331</v>
      </c>
      <c r="AF220" s="2" t="s">
        <v>5</v>
      </c>
      <c r="AG220" s="2">
        <v>0.3923611111111111</v>
      </c>
      <c r="AH220" s="2">
        <v>0.39583333333333331</v>
      </c>
      <c r="AI220" s="2">
        <v>0.375</v>
      </c>
      <c r="AJ220" s="2">
        <v>0.375</v>
      </c>
      <c r="AK220" s="2">
        <v>0.5</v>
      </c>
      <c r="AL220" s="2">
        <v>0.44444444444444442</v>
      </c>
      <c r="AM220" s="2">
        <v>0.41666666666666669</v>
      </c>
      <c r="AN220" s="20"/>
      <c r="AO220" s="12"/>
    </row>
    <row r="221" spans="1:41">
      <c r="A221" s="1" t="s">
        <v>186</v>
      </c>
      <c r="B221" s="12" t="s">
        <v>229</v>
      </c>
      <c r="C221" s="15" t="s">
        <v>57</v>
      </c>
      <c r="D221" s="8" t="s">
        <v>212</v>
      </c>
      <c r="E221" s="1" t="s">
        <v>190</v>
      </c>
      <c r="F221" s="6">
        <v>45907</v>
      </c>
      <c r="G221" s="1" t="s">
        <v>32</v>
      </c>
      <c r="H221" s="12" t="s">
        <v>18</v>
      </c>
      <c r="I221" s="7" t="s">
        <v>8</v>
      </c>
      <c r="J221" s="2">
        <v>0.72916666666666663</v>
      </c>
      <c r="K221" s="2" t="s">
        <v>5</v>
      </c>
      <c r="L221" s="2">
        <v>0.83333333333333337</v>
      </c>
      <c r="M221" s="2">
        <v>0.86111111111111116</v>
      </c>
      <c r="N221" s="2">
        <v>0.85416666666666663</v>
      </c>
      <c r="O221" s="2">
        <v>0.90625</v>
      </c>
      <c r="P221" s="2">
        <v>0.875</v>
      </c>
      <c r="Q221" s="2" t="s">
        <v>5</v>
      </c>
      <c r="R221" s="2" t="s">
        <v>5</v>
      </c>
      <c r="S221" s="2" t="s">
        <v>5</v>
      </c>
      <c r="T221" s="2" t="s">
        <v>5</v>
      </c>
      <c r="U221" s="2" t="s">
        <v>5</v>
      </c>
      <c r="V221" s="2" t="s">
        <v>5</v>
      </c>
      <c r="W221" s="2" t="s">
        <v>5</v>
      </c>
      <c r="X221" s="2" t="s">
        <v>5</v>
      </c>
      <c r="Y221" s="2" t="s">
        <v>5</v>
      </c>
      <c r="Z221" s="2" t="s">
        <v>5</v>
      </c>
      <c r="AA221" s="2">
        <v>0.89861111111111114</v>
      </c>
      <c r="AB221" s="2">
        <v>0.89583333333333337</v>
      </c>
      <c r="AC221" s="2">
        <v>0.875</v>
      </c>
      <c r="AD221" s="2">
        <v>0.92361111111111116</v>
      </c>
      <c r="AE221" s="2">
        <v>0.1388888888888889</v>
      </c>
      <c r="AF221" s="2" t="s">
        <v>5</v>
      </c>
      <c r="AG221" s="2">
        <v>4.8611111111111112E-2</v>
      </c>
      <c r="AH221" s="2">
        <v>0.92708333333333337</v>
      </c>
      <c r="AI221" s="2">
        <v>1.0152777777777777</v>
      </c>
      <c r="AJ221" s="2">
        <v>9.0277777777777776E-2</v>
      </c>
      <c r="AK221" s="2">
        <v>4.1666666666666664E-2</v>
      </c>
      <c r="AL221" s="2">
        <v>0.9375</v>
      </c>
      <c r="AM221" s="2">
        <v>0.15625</v>
      </c>
      <c r="AN221" s="20"/>
      <c r="AO221" s="12"/>
    </row>
    <row r="222" spans="1:41">
      <c r="A222" s="21" t="s">
        <v>186</v>
      </c>
      <c r="B222" s="21" t="s">
        <v>229</v>
      </c>
      <c r="C222" s="21" t="s">
        <v>57</v>
      </c>
      <c r="D222" s="21" t="s">
        <v>212</v>
      </c>
      <c r="E222" s="21" t="s">
        <v>190</v>
      </c>
      <c r="F222" s="22">
        <v>45907</v>
      </c>
      <c r="G222" s="21" t="s">
        <v>32</v>
      </c>
      <c r="H222" s="21" t="s">
        <v>18</v>
      </c>
      <c r="I222" s="25" t="s">
        <v>9</v>
      </c>
      <c r="J222" s="24">
        <f>IF(AND(ISBLANK(J220),ISBLANK(J221)),"A",IFERROR(+MOD(J221-J220,1),J219))</f>
        <v>0.35416666666666663</v>
      </c>
      <c r="K222" s="24" t="s">
        <v>5</v>
      </c>
      <c r="L222" s="24">
        <f t="shared" ref="L222" si="872">IF(AND(ISBLANK(L220),ISBLANK(L221)),"A",IFERROR(+MOD(L221-L220,1),L219))</f>
        <v>0.45833333333333337</v>
      </c>
      <c r="M222" s="24">
        <f t="shared" ref="M222" si="873">IF(AND(ISBLANK(M220),ISBLANK(M221)),"A",IFERROR(+MOD(M221-M220,1),M219))</f>
        <v>0.48611111111111116</v>
      </c>
      <c r="N222" s="24">
        <f t="shared" ref="N222" si="874">IF(AND(ISBLANK(N220),ISBLANK(N221)),"A",IFERROR(+MOD(N221-N220,1),N219))</f>
        <v>0.47916666666666663</v>
      </c>
      <c r="O222" s="24">
        <f t="shared" ref="O222" si="875">IF(AND(ISBLANK(O220),ISBLANK(O221)),"A",IFERROR(+MOD(O221-O220,1),O219))</f>
        <v>0.53125</v>
      </c>
      <c r="P222" s="24">
        <f t="shared" ref="P222" si="876">IF(AND(ISBLANK(P220),ISBLANK(P221)),"A",IFERROR(+MOD(P221-P220,1),P219))</f>
        <v>0.5</v>
      </c>
      <c r="Q222" s="24" t="s">
        <v>5</v>
      </c>
      <c r="R222" s="24" t="s">
        <v>5</v>
      </c>
      <c r="S222" s="24" t="s">
        <v>5</v>
      </c>
      <c r="T222" s="24" t="s">
        <v>5</v>
      </c>
      <c r="U222" s="24" t="s">
        <v>5</v>
      </c>
      <c r="V222" s="24" t="s">
        <v>5</v>
      </c>
      <c r="W222" s="24" t="s">
        <v>5</v>
      </c>
      <c r="X222" s="24" t="s">
        <v>5</v>
      </c>
      <c r="Y222" s="24" t="s">
        <v>5</v>
      </c>
      <c r="Z222" s="24" t="s">
        <v>5</v>
      </c>
      <c r="AA222" s="24">
        <f t="shared" ref="AA222" si="877">IF(AND(ISBLANK(AA220),ISBLANK(AA221)),"A",IFERROR(+MOD(AA221-AA220,1),AA219))</f>
        <v>0.52361111111111114</v>
      </c>
      <c r="AB222" s="24">
        <f t="shared" ref="AB222" si="878">IF(AND(ISBLANK(AB220),ISBLANK(AB221)),"A",IFERROR(+MOD(AB221-AB220,1),AB219))</f>
        <v>0.52083333333333337</v>
      </c>
      <c r="AC222" s="24">
        <f t="shared" ref="AC222" si="879">IF(AND(ISBLANK(AC220),ISBLANK(AC221)),"A",IFERROR(+MOD(AC221-AC220,1),AC219))</f>
        <v>0.5</v>
      </c>
      <c r="AD222" s="24">
        <f t="shared" ref="AD222" si="880">IF(AND(ISBLANK(AD220),ISBLANK(AD221)),"A",IFERROR(+MOD(AD221-AD220,1),AD219))</f>
        <v>0.54166666666666674</v>
      </c>
      <c r="AE222" s="24">
        <f t="shared" ref="AE222" si="881">IF(AND(ISBLANK(AE220),ISBLANK(AE221)),"A",IFERROR(+MOD(AE221-AE220,1),AE219))</f>
        <v>0.74305555555555558</v>
      </c>
      <c r="AF222" s="24" t="s">
        <v>5</v>
      </c>
      <c r="AG222" s="24">
        <f t="shared" ref="AG222" si="882">IF(AND(ISBLANK(AG220),ISBLANK(AG221)),"A",IFERROR(+MOD(AG221-AG220,1),AG219))</f>
        <v>0.65625</v>
      </c>
      <c r="AH222" s="24">
        <f t="shared" ref="AH222" si="883">IF(AND(ISBLANK(AH220),ISBLANK(AH221)),"A",IFERROR(+MOD(AH221-AH220,1),AH219))</f>
        <v>0.53125</v>
      </c>
      <c r="AI222" s="24">
        <f t="shared" ref="AI222" si="884">IF(AND(ISBLANK(AI220),ISBLANK(AI221)),"A",IFERROR(+MOD(AI221-AI220,1),AI219))</f>
        <v>0.64027777777777772</v>
      </c>
      <c r="AJ222" s="24">
        <f t="shared" ref="AJ222:AK222" si="885">IF(AND(ISBLANK(AJ220),ISBLANK(AJ221)),"A",IFERROR(+MOD(AJ221-AJ220,1),AJ219))</f>
        <v>0.71527777777777779</v>
      </c>
      <c r="AK222" s="24">
        <f t="shared" si="885"/>
        <v>0.54166666666666674</v>
      </c>
      <c r="AL222" s="24">
        <f t="shared" ref="AL222" si="886">IF(AND(ISBLANK(AL220),ISBLANK(AL221)),"A",IFERROR(+MOD(AL221-AL220,1),AL219))</f>
        <v>0.49305555555555558</v>
      </c>
      <c r="AM222" s="24">
        <f t="shared" ref="AM222" si="887">IF(AND(ISBLANK(AM220),ISBLANK(AM221)),"A",IFERROR(+MOD(AM221-AM220,1),AM219))</f>
        <v>0.73958333333333326</v>
      </c>
      <c r="AN222" s="17">
        <f>COUNT(F222:AM222)</f>
        <v>19</v>
      </c>
      <c r="AO222" s="21"/>
    </row>
    <row r="223" spans="1:41">
      <c r="A223" s="8" t="s">
        <v>191</v>
      </c>
      <c r="B223" s="12" t="s">
        <v>237</v>
      </c>
      <c r="C223" s="8" t="s">
        <v>217</v>
      </c>
      <c r="D223" s="8" t="s">
        <v>42</v>
      </c>
      <c r="E223" s="8" t="s">
        <v>218</v>
      </c>
      <c r="F223" s="11">
        <v>45909</v>
      </c>
      <c r="G223" s="8" t="s">
        <v>32</v>
      </c>
      <c r="H223" s="12" t="s">
        <v>18</v>
      </c>
      <c r="I223" s="14" t="s">
        <v>4</v>
      </c>
      <c r="J223" s="2" t="s">
        <v>6</v>
      </c>
      <c r="K223" s="2" t="s">
        <v>5</v>
      </c>
      <c r="L223" s="2" t="s">
        <v>6</v>
      </c>
      <c r="M223" s="2" t="s">
        <v>6</v>
      </c>
      <c r="N223" s="2" t="s">
        <v>6</v>
      </c>
      <c r="O223" s="2" t="s">
        <v>6</v>
      </c>
      <c r="P223" s="2" t="s">
        <v>6</v>
      </c>
      <c r="Q223" s="2" t="s">
        <v>6</v>
      </c>
      <c r="R223" s="2" t="s">
        <v>5</v>
      </c>
      <c r="S223" s="2" t="s">
        <v>6</v>
      </c>
      <c r="T223" s="2" t="s">
        <v>6</v>
      </c>
      <c r="U223" s="2" t="s">
        <v>6</v>
      </c>
      <c r="V223" s="2" t="s">
        <v>6</v>
      </c>
      <c r="W223" s="2" t="s">
        <v>6</v>
      </c>
      <c r="X223" s="2" t="s">
        <v>6</v>
      </c>
      <c r="Y223" s="2" t="s">
        <v>5</v>
      </c>
      <c r="Z223" s="2" t="s">
        <v>6</v>
      </c>
      <c r="AA223" s="2" t="s">
        <v>6</v>
      </c>
      <c r="AB223" s="2" t="s">
        <v>6</v>
      </c>
      <c r="AC223" s="2" t="s">
        <v>6</v>
      </c>
      <c r="AD223" s="2" t="s">
        <v>5</v>
      </c>
      <c r="AE223" s="2" t="s">
        <v>5</v>
      </c>
      <c r="AF223" s="2" t="s">
        <v>5</v>
      </c>
      <c r="AG223" s="2" t="s">
        <v>5</v>
      </c>
      <c r="AH223" s="2" t="s">
        <v>5</v>
      </c>
      <c r="AI223" s="2" t="s">
        <v>5</v>
      </c>
      <c r="AJ223" s="2" t="s">
        <v>5</v>
      </c>
      <c r="AK223" s="2" t="s">
        <v>5</v>
      </c>
      <c r="AL223" s="2" t="s">
        <v>5</v>
      </c>
      <c r="AM223" s="2" t="s">
        <v>5</v>
      </c>
      <c r="AN223" s="20"/>
      <c r="AO223" s="12" t="s">
        <v>18</v>
      </c>
    </row>
    <row r="224" spans="1:41">
      <c r="A224" s="1" t="s">
        <v>191</v>
      </c>
      <c r="B224" s="12" t="s">
        <v>237</v>
      </c>
      <c r="C224" s="8" t="s">
        <v>217</v>
      </c>
      <c r="D224" s="3" t="s">
        <v>42</v>
      </c>
      <c r="E224" s="8" t="s">
        <v>218</v>
      </c>
      <c r="F224" s="6">
        <v>45909</v>
      </c>
      <c r="G224" s="5" t="s">
        <v>32</v>
      </c>
      <c r="H224" s="12" t="s">
        <v>18</v>
      </c>
      <c r="I224" s="7" t="s">
        <v>7</v>
      </c>
      <c r="J224" s="2">
        <v>0.45833333333333331</v>
      </c>
      <c r="K224" s="2" t="s">
        <v>5</v>
      </c>
      <c r="L224" s="2">
        <v>0.45833333333333331</v>
      </c>
      <c r="M224" s="2">
        <v>0.45833333333333331</v>
      </c>
      <c r="N224" s="2">
        <v>0.45833333333333331</v>
      </c>
      <c r="O224" s="2">
        <v>0.45833333333333331</v>
      </c>
      <c r="P224" s="2">
        <v>0.45833333333333331</v>
      </c>
      <c r="Q224" s="2">
        <v>0.45833333333333331</v>
      </c>
      <c r="R224" s="2" t="s">
        <v>5</v>
      </c>
      <c r="S224" s="2">
        <v>0.45833333333333331</v>
      </c>
      <c r="T224" s="2">
        <v>0.45833333333333331</v>
      </c>
      <c r="U224" s="2">
        <v>0.45833333333333331</v>
      </c>
      <c r="V224" s="2">
        <v>0.45833333333333331</v>
      </c>
      <c r="W224" s="2">
        <v>0.45833333333333331</v>
      </c>
      <c r="X224" s="2">
        <v>0.45833333333333331</v>
      </c>
      <c r="Y224" s="2" t="s">
        <v>5</v>
      </c>
      <c r="Z224" s="2">
        <v>0.45833333333333331</v>
      </c>
      <c r="AA224" s="2">
        <v>0.45833333333333331</v>
      </c>
      <c r="AB224" s="2">
        <v>0.45833333333333331</v>
      </c>
      <c r="AC224" s="2">
        <v>0.45833333333333331</v>
      </c>
      <c r="AD224" s="2" t="s">
        <v>5</v>
      </c>
      <c r="AE224" s="2" t="s">
        <v>5</v>
      </c>
      <c r="AF224" s="2" t="s">
        <v>5</v>
      </c>
      <c r="AG224" s="2" t="s">
        <v>5</v>
      </c>
      <c r="AH224" s="2" t="s">
        <v>5</v>
      </c>
      <c r="AI224" s="2" t="s">
        <v>5</v>
      </c>
      <c r="AJ224" s="2" t="s">
        <v>5</v>
      </c>
      <c r="AK224" s="2" t="s">
        <v>5</v>
      </c>
      <c r="AL224" s="2" t="s">
        <v>5</v>
      </c>
      <c r="AM224" s="2" t="s">
        <v>5</v>
      </c>
      <c r="AN224" s="20"/>
      <c r="AO224" s="12"/>
    </row>
    <row r="225" spans="1:41">
      <c r="A225" s="1" t="s">
        <v>191</v>
      </c>
      <c r="B225" s="12" t="s">
        <v>237</v>
      </c>
      <c r="C225" s="8" t="s">
        <v>217</v>
      </c>
      <c r="D225" s="1" t="s">
        <v>42</v>
      </c>
      <c r="E225" s="8" t="s">
        <v>218</v>
      </c>
      <c r="F225" s="6">
        <v>45909</v>
      </c>
      <c r="G225" s="1" t="s">
        <v>32</v>
      </c>
      <c r="H225" s="12" t="s">
        <v>18</v>
      </c>
      <c r="I225" s="7" t="s">
        <v>8</v>
      </c>
      <c r="J225" s="2">
        <v>0.875</v>
      </c>
      <c r="K225" s="2" t="s">
        <v>5</v>
      </c>
      <c r="L225" s="2">
        <v>0.875</v>
      </c>
      <c r="M225" s="2">
        <v>0.83333333333333337</v>
      </c>
      <c r="N225" s="2">
        <v>0.875</v>
      </c>
      <c r="O225" s="2">
        <v>0.875</v>
      </c>
      <c r="P225" s="2">
        <v>0.83333333333333337</v>
      </c>
      <c r="Q225" s="2">
        <v>0.83333333333333337</v>
      </c>
      <c r="R225" s="2" t="s">
        <v>5</v>
      </c>
      <c r="S225" s="2">
        <v>0.875</v>
      </c>
      <c r="T225" s="2">
        <v>0.875</v>
      </c>
      <c r="U225" s="2">
        <v>0.83333333333333337</v>
      </c>
      <c r="V225" s="2">
        <v>0.875</v>
      </c>
      <c r="W225" s="2">
        <v>0.875</v>
      </c>
      <c r="X225" s="2">
        <v>0.875</v>
      </c>
      <c r="Y225" s="2" t="s">
        <v>5</v>
      </c>
      <c r="Z225" s="2">
        <v>0.875</v>
      </c>
      <c r="AA225" s="2">
        <v>0.875</v>
      </c>
      <c r="AB225" s="2">
        <v>0.875</v>
      </c>
      <c r="AC225" s="2">
        <v>0.875</v>
      </c>
      <c r="AD225" s="2" t="s">
        <v>5</v>
      </c>
      <c r="AE225" s="2" t="s">
        <v>5</v>
      </c>
      <c r="AF225" s="2" t="s">
        <v>5</v>
      </c>
      <c r="AG225" s="2" t="s">
        <v>5</v>
      </c>
      <c r="AH225" s="2" t="s">
        <v>5</v>
      </c>
      <c r="AI225" s="2" t="s">
        <v>5</v>
      </c>
      <c r="AJ225" s="2" t="s">
        <v>5</v>
      </c>
      <c r="AK225" s="2" t="s">
        <v>5</v>
      </c>
      <c r="AL225" s="2" t="s">
        <v>5</v>
      </c>
      <c r="AM225" s="2" t="s">
        <v>5</v>
      </c>
      <c r="AN225" s="20"/>
      <c r="AO225" s="12"/>
    </row>
    <row r="226" spans="1:41">
      <c r="A226" s="21" t="s">
        <v>191</v>
      </c>
      <c r="B226" s="21" t="s">
        <v>237</v>
      </c>
      <c r="C226" s="21" t="s">
        <v>217</v>
      </c>
      <c r="D226" s="21" t="s">
        <v>42</v>
      </c>
      <c r="E226" s="21" t="s">
        <v>218</v>
      </c>
      <c r="F226" s="22">
        <v>45909</v>
      </c>
      <c r="G226" s="21" t="s">
        <v>32</v>
      </c>
      <c r="H226" s="21" t="s">
        <v>18</v>
      </c>
      <c r="I226" s="25" t="s">
        <v>9</v>
      </c>
      <c r="J226" s="24">
        <f>IF(AND(ISBLANK(J224),ISBLANK(J225)),"A",IFERROR(+MOD(J225-J224,1),J223))</f>
        <v>0.41666666666666669</v>
      </c>
      <c r="K226" s="24" t="s">
        <v>5</v>
      </c>
      <c r="L226" s="24">
        <f t="shared" ref="L226" si="888">IF(AND(ISBLANK(L224),ISBLANK(L225)),"A",IFERROR(+MOD(L225-L224,1),L223))</f>
        <v>0.41666666666666669</v>
      </c>
      <c r="M226" s="24">
        <f t="shared" ref="M226" si="889">IF(AND(ISBLANK(M224),ISBLANK(M225)),"A",IFERROR(+MOD(M225-M224,1),M223))</f>
        <v>0.37500000000000006</v>
      </c>
      <c r="N226" s="24">
        <f t="shared" ref="N226:O226" si="890">IF(AND(ISBLANK(N224),ISBLANK(N225)),"A",IFERROR(+MOD(N225-N224,1),N223))</f>
        <v>0.41666666666666669</v>
      </c>
      <c r="O226" s="24">
        <f t="shared" si="890"/>
        <v>0.41666666666666669</v>
      </c>
      <c r="P226" s="24">
        <f t="shared" ref="P226:Q226" si="891">IF(AND(ISBLANK(P224),ISBLANK(P225)),"A",IFERROR(+MOD(P225-P224,1),P223))</f>
        <v>0.37500000000000006</v>
      </c>
      <c r="Q226" s="24">
        <f t="shared" si="891"/>
        <v>0.37500000000000006</v>
      </c>
      <c r="R226" s="24" t="s">
        <v>5</v>
      </c>
      <c r="S226" s="24">
        <f t="shared" ref="S226:T226" si="892">IF(AND(ISBLANK(S224),ISBLANK(S225)),"A",IFERROR(+MOD(S225-S224,1),S223))</f>
        <v>0.41666666666666669</v>
      </c>
      <c r="T226" s="24">
        <f t="shared" si="892"/>
        <v>0.41666666666666669</v>
      </c>
      <c r="U226" s="24">
        <f t="shared" ref="U226" si="893">IF(AND(ISBLANK(U224),ISBLANK(U225)),"A",IFERROR(+MOD(U225-U224,1),U223))</f>
        <v>0.37500000000000006</v>
      </c>
      <c r="V226" s="24">
        <f t="shared" ref="V226" si="894">IF(AND(ISBLANK(V224),ISBLANK(V225)),"A",IFERROR(+MOD(V225-V224,1),V223))</f>
        <v>0.41666666666666669</v>
      </c>
      <c r="W226" s="24">
        <f t="shared" ref="W226" si="895">IF(AND(ISBLANK(W224),ISBLANK(W225)),"A",IFERROR(+MOD(W225-W224,1),W223))</f>
        <v>0.41666666666666669</v>
      </c>
      <c r="X226" s="24">
        <f t="shared" ref="X226" si="896">IF(AND(ISBLANK(X224),ISBLANK(X225)),"A",IFERROR(+MOD(X225-X224,1),X223))</f>
        <v>0.41666666666666669</v>
      </c>
      <c r="Y226" s="24" t="s">
        <v>5</v>
      </c>
      <c r="Z226" s="24">
        <f t="shared" ref="Z226" si="897">IF(AND(ISBLANK(Z224),ISBLANK(Z225)),"A",IFERROR(+MOD(Z225-Z224,1),Z223))</f>
        <v>0.41666666666666669</v>
      </c>
      <c r="AA226" s="24">
        <f t="shared" ref="AA226" si="898">IF(AND(ISBLANK(AA224),ISBLANK(AA225)),"A",IFERROR(+MOD(AA225-AA224,1),AA223))</f>
        <v>0.41666666666666669</v>
      </c>
      <c r="AB226" s="24">
        <f t="shared" ref="AB226" si="899">IF(AND(ISBLANK(AB224),ISBLANK(AB225)),"A",IFERROR(+MOD(AB225-AB224,1),AB223))</f>
        <v>0.41666666666666669</v>
      </c>
      <c r="AC226" s="24">
        <f t="shared" ref="AC226" si="900">IF(AND(ISBLANK(AC224),ISBLANK(AC225)),"A",IFERROR(+MOD(AC225-AC224,1),AC223))</f>
        <v>0.41666666666666669</v>
      </c>
      <c r="AD226" s="24" t="s">
        <v>5</v>
      </c>
      <c r="AE226" s="24" t="s">
        <v>5</v>
      </c>
      <c r="AF226" s="24" t="s">
        <v>5</v>
      </c>
      <c r="AG226" s="24" t="s">
        <v>5</v>
      </c>
      <c r="AH226" s="24" t="s">
        <v>5</v>
      </c>
      <c r="AI226" s="24" t="s">
        <v>5</v>
      </c>
      <c r="AJ226" s="24" t="s">
        <v>5</v>
      </c>
      <c r="AK226" s="24" t="s">
        <v>5</v>
      </c>
      <c r="AL226" s="24" t="s">
        <v>5</v>
      </c>
      <c r="AM226" s="24" t="s">
        <v>5</v>
      </c>
      <c r="AN226" s="17">
        <f>COUNT(F226:AM226)</f>
        <v>18</v>
      </c>
      <c r="AO226" s="21"/>
    </row>
    <row r="227" spans="1:41">
      <c r="A227" s="8" t="s">
        <v>192</v>
      </c>
      <c r="B227" s="12" t="s">
        <v>233</v>
      </c>
      <c r="C227" s="8" t="s">
        <v>193</v>
      </c>
      <c r="D227" s="8" t="s">
        <v>42</v>
      </c>
      <c r="E227" s="8" t="s">
        <v>194</v>
      </c>
      <c r="F227" s="11">
        <v>45909</v>
      </c>
      <c r="G227" s="8" t="s">
        <v>32</v>
      </c>
      <c r="H227" s="12" t="s">
        <v>18</v>
      </c>
      <c r="I227" s="14" t="s">
        <v>4</v>
      </c>
      <c r="J227" s="2" t="s">
        <v>6</v>
      </c>
      <c r="K227" s="2" t="s">
        <v>5</v>
      </c>
      <c r="L227" s="2" t="s">
        <v>5</v>
      </c>
      <c r="M227" s="2" t="s">
        <v>6</v>
      </c>
      <c r="N227" s="2" t="s">
        <v>6</v>
      </c>
      <c r="O227" s="2" t="s">
        <v>6</v>
      </c>
      <c r="P227" s="2" t="s">
        <v>6</v>
      </c>
      <c r="Q227" s="2" t="s">
        <v>5</v>
      </c>
      <c r="R227" s="2" t="s">
        <v>5</v>
      </c>
      <c r="S227" s="2" t="s">
        <v>5</v>
      </c>
      <c r="T227" s="2" t="s">
        <v>5</v>
      </c>
      <c r="U227" s="2" t="s">
        <v>5</v>
      </c>
      <c r="V227" s="2" t="s">
        <v>5</v>
      </c>
      <c r="W227" s="2" t="s">
        <v>5</v>
      </c>
      <c r="X227" s="2" t="s">
        <v>5</v>
      </c>
      <c r="Y227" s="2" t="s">
        <v>5</v>
      </c>
      <c r="Z227" s="2" t="s">
        <v>5</v>
      </c>
      <c r="AA227" s="2" t="s">
        <v>6</v>
      </c>
      <c r="AB227" s="2" t="s">
        <v>6</v>
      </c>
      <c r="AC227" s="2" t="s">
        <v>6</v>
      </c>
      <c r="AD227" s="2" t="s">
        <v>6</v>
      </c>
      <c r="AE227" s="2" t="s">
        <v>6</v>
      </c>
      <c r="AF227" s="2" t="s">
        <v>5</v>
      </c>
      <c r="AG227" s="2" t="s">
        <v>6</v>
      </c>
      <c r="AH227" s="2" t="s">
        <v>6</v>
      </c>
      <c r="AI227" s="2" t="s">
        <v>6</v>
      </c>
      <c r="AJ227" s="2" t="s">
        <v>6</v>
      </c>
      <c r="AK227" s="2" t="s">
        <v>6</v>
      </c>
      <c r="AL227" s="2" t="s">
        <v>6</v>
      </c>
      <c r="AM227" s="2" t="s">
        <v>5</v>
      </c>
      <c r="AN227" s="20"/>
      <c r="AO227" s="12" t="s">
        <v>18</v>
      </c>
    </row>
    <row r="228" spans="1:41">
      <c r="A228" s="1" t="s">
        <v>192</v>
      </c>
      <c r="B228" s="12" t="s">
        <v>233</v>
      </c>
      <c r="C228" s="3" t="s">
        <v>193</v>
      </c>
      <c r="D228" s="3" t="s">
        <v>42</v>
      </c>
      <c r="E228" s="3" t="s">
        <v>194</v>
      </c>
      <c r="F228" s="6">
        <v>45909</v>
      </c>
      <c r="G228" s="5" t="s">
        <v>32</v>
      </c>
      <c r="H228" s="12" t="s">
        <v>18</v>
      </c>
      <c r="I228" s="7" t="s">
        <v>7</v>
      </c>
      <c r="J228" s="2">
        <v>0.375</v>
      </c>
      <c r="K228" s="2" t="s">
        <v>5</v>
      </c>
      <c r="L228" s="2" t="s">
        <v>5</v>
      </c>
      <c r="M228" s="2">
        <v>0.375</v>
      </c>
      <c r="N228" s="2">
        <v>0.4513888888888889</v>
      </c>
      <c r="O228" s="2">
        <v>0.375</v>
      </c>
      <c r="P228" s="2">
        <v>0.40972222222222227</v>
      </c>
      <c r="Q228" s="2" t="s">
        <v>5</v>
      </c>
      <c r="R228" s="2" t="s">
        <v>5</v>
      </c>
      <c r="S228" s="2" t="s">
        <v>5</v>
      </c>
      <c r="T228" s="2" t="s">
        <v>5</v>
      </c>
      <c r="U228" s="2" t="s">
        <v>5</v>
      </c>
      <c r="V228" s="2" t="s">
        <v>5</v>
      </c>
      <c r="W228" s="2" t="s">
        <v>5</v>
      </c>
      <c r="X228" s="2" t="s">
        <v>5</v>
      </c>
      <c r="Y228" s="2" t="s">
        <v>5</v>
      </c>
      <c r="Z228" s="2" t="s">
        <v>5</v>
      </c>
      <c r="AA228" s="2">
        <v>0.375</v>
      </c>
      <c r="AB228" s="2">
        <v>0.375</v>
      </c>
      <c r="AC228" s="2">
        <v>0.375</v>
      </c>
      <c r="AD228" s="2">
        <v>0.375</v>
      </c>
      <c r="AE228" s="2">
        <v>0.38194444444444442</v>
      </c>
      <c r="AF228" s="2" t="s">
        <v>5</v>
      </c>
      <c r="AG228" s="2">
        <v>0.375</v>
      </c>
      <c r="AH228" s="2">
        <v>0.39583333333333331</v>
      </c>
      <c r="AI228" s="2">
        <v>0.40972222222222227</v>
      </c>
      <c r="AJ228" s="2">
        <v>0.41666666666666669</v>
      </c>
      <c r="AK228" s="2">
        <v>0.41666666666666669</v>
      </c>
      <c r="AL228" s="2">
        <v>0.41666666666666669</v>
      </c>
      <c r="AM228" s="2" t="s">
        <v>5</v>
      </c>
      <c r="AN228" s="20"/>
      <c r="AO228" s="12"/>
    </row>
    <row r="229" spans="1:41">
      <c r="A229" s="1" t="s">
        <v>192</v>
      </c>
      <c r="B229" s="12" t="s">
        <v>233</v>
      </c>
      <c r="C229" s="1" t="s">
        <v>193</v>
      </c>
      <c r="D229" s="1" t="s">
        <v>42</v>
      </c>
      <c r="E229" s="1" t="s">
        <v>194</v>
      </c>
      <c r="F229" s="6">
        <v>45909</v>
      </c>
      <c r="G229" s="1" t="s">
        <v>32</v>
      </c>
      <c r="H229" s="12" t="s">
        <v>18</v>
      </c>
      <c r="I229" s="7" t="s">
        <v>8</v>
      </c>
      <c r="J229" s="2">
        <v>4.1666666666666664E-2</v>
      </c>
      <c r="K229" s="2" t="s">
        <v>5</v>
      </c>
      <c r="L229" s="2" t="s">
        <v>5</v>
      </c>
      <c r="M229" s="2">
        <v>0.13194444444444445</v>
      </c>
      <c r="N229" s="2">
        <v>0.99305555555555547</v>
      </c>
      <c r="O229" s="2">
        <v>1.0104166666666667</v>
      </c>
      <c r="P229" s="2">
        <v>0.79166666666666663</v>
      </c>
      <c r="Q229" s="2" t="s">
        <v>5</v>
      </c>
      <c r="R229" s="2" t="s">
        <v>5</v>
      </c>
      <c r="S229" s="2" t="s">
        <v>5</v>
      </c>
      <c r="T229" s="2" t="s">
        <v>5</v>
      </c>
      <c r="U229" s="2" t="s">
        <v>5</v>
      </c>
      <c r="V229" s="2" t="s">
        <v>5</v>
      </c>
      <c r="W229" s="2" t="s">
        <v>5</v>
      </c>
      <c r="X229" s="2" t="s">
        <v>5</v>
      </c>
      <c r="Y229" s="2" t="s">
        <v>5</v>
      </c>
      <c r="Z229" s="2" t="s">
        <v>5</v>
      </c>
      <c r="AA229" s="2">
        <v>0.93055555555555547</v>
      </c>
      <c r="AB229" s="2">
        <v>0.875</v>
      </c>
      <c r="AC229" s="2">
        <v>0.95833333333333337</v>
      </c>
      <c r="AD229" s="2">
        <v>0.93055555555555547</v>
      </c>
      <c r="AE229" s="2">
        <v>0.21527777777777779</v>
      </c>
      <c r="AF229" s="2" t="s">
        <v>5</v>
      </c>
      <c r="AG229" s="2">
        <v>0.96875</v>
      </c>
      <c r="AH229" s="2">
        <v>0.98611111111111116</v>
      </c>
      <c r="AI229" s="2">
        <v>5.9027777777777783E-2</v>
      </c>
      <c r="AJ229" s="2">
        <v>4.1666666666666664E-2</v>
      </c>
      <c r="AK229" s="2">
        <v>1.0208333333333333</v>
      </c>
      <c r="AL229" s="2">
        <v>0.15972222222222224</v>
      </c>
      <c r="AM229" s="2" t="s">
        <v>5</v>
      </c>
      <c r="AN229" s="20"/>
      <c r="AO229" s="12"/>
    </row>
    <row r="230" spans="1:41">
      <c r="A230" s="21" t="s">
        <v>192</v>
      </c>
      <c r="B230" s="21" t="s">
        <v>233</v>
      </c>
      <c r="C230" s="21" t="s">
        <v>193</v>
      </c>
      <c r="D230" s="21" t="s">
        <v>42</v>
      </c>
      <c r="E230" s="21" t="s">
        <v>194</v>
      </c>
      <c r="F230" s="22">
        <v>45909</v>
      </c>
      <c r="G230" s="21" t="s">
        <v>32</v>
      </c>
      <c r="H230" s="21" t="s">
        <v>18</v>
      </c>
      <c r="I230" s="25" t="s">
        <v>9</v>
      </c>
      <c r="J230" s="24">
        <f>IF(AND(ISBLANK(J228),ISBLANK(J229)),"A",IFERROR(+MOD(J229-J228,1),J227))</f>
        <v>0.66666666666666674</v>
      </c>
      <c r="K230" s="24" t="s">
        <v>5</v>
      </c>
      <c r="L230" s="24" t="s">
        <v>5</v>
      </c>
      <c r="M230" s="24">
        <f t="shared" ref="M230" si="901">IF(AND(ISBLANK(M228),ISBLANK(M229)),"A",IFERROR(+MOD(M229-M228,1),M227))</f>
        <v>0.75694444444444442</v>
      </c>
      <c r="N230" s="24">
        <f t="shared" ref="N230" si="902">IF(AND(ISBLANK(N228),ISBLANK(N229)),"A",IFERROR(+MOD(N229-N228,1),N227))</f>
        <v>0.54166666666666652</v>
      </c>
      <c r="O230" s="24">
        <f t="shared" ref="O230" si="903">IF(AND(ISBLANK(O228),ISBLANK(O229)),"A",IFERROR(+MOD(O229-O228,1),O227))</f>
        <v>0.63541666666666674</v>
      </c>
      <c r="P230" s="24">
        <f t="shared" ref="P230" si="904">IF(AND(ISBLANK(P228),ISBLANK(P229)),"A",IFERROR(+MOD(P229-P228,1),P227))</f>
        <v>0.38194444444444436</v>
      </c>
      <c r="Q230" s="24" t="s">
        <v>5</v>
      </c>
      <c r="R230" s="24" t="s">
        <v>5</v>
      </c>
      <c r="S230" s="24" t="s">
        <v>5</v>
      </c>
      <c r="T230" s="24" t="s">
        <v>5</v>
      </c>
      <c r="U230" s="24" t="s">
        <v>5</v>
      </c>
      <c r="V230" s="24" t="s">
        <v>5</v>
      </c>
      <c r="W230" s="24" t="s">
        <v>5</v>
      </c>
      <c r="X230" s="24" t="s">
        <v>5</v>
      </c>
      <c r="Y230" s="24" t="s">
        <v>5</v>
      </c>
      <c r="Z230" s="24" t="s">
        <v>5</v>
      </c>
      <c r="AA230" s="24">
        <f t="shared" ref="AA230" si="905">IF(AND(ISBLANK(AA228),ISBLANK(AA229)),"A",IFERROR(+MOD(AA229-AA228,1),AA227))</f>
        <v>0.55555555555555547</v>
      </c>
      <c r="AB230" s="24">
        <f t="shared" ref="AB230" si="906">IF(AND(ISBLANK(AB228),ISBLANK(AB229)),"A",IFERROR(+MOD(AB229-AB228,1),AB227))</f>
        <v>0.5</v>
      </c>
      <c r="AC230" s="24">
        <f t="shared" ref="AC230" si="907">IF(AND(ISBLANK(AC228),ISBLANK(AC229)),"A",IFERROR(+MOD(AC229-AC228,1),AC227))</f>
        <v>0.58333333333333337</v>
      </c>
      <c r="AD230" s="24">
        <f t="shared" ref="AD230" si="908">IF(AND(ISBLANK(AD228),ISBLANK(AD229)),"A",IFERROR(+MOD(AD229-AD228,1),AD227))</f>
        <v>0.55555555555555547</v>
      </c>
      <c r="AE230" s="24">
        <f t="shared" ref="AE230" si="909">IF(AND(ISBLANK(AE228),ISBLANK(AE229)),"A",IFERROR(+MOD(AE229-AE228,1),AE227))</f>
        <v>0.83333333333333337</v>
      </c>
      <c r="AF230" s="24" t="s">
        <v>5</v>
      </c>
      <c r="AG230" s="24">
        <f t="shared" ref="AG230" si="910">IF(AND(ISBLANK(AG228),ISBLANK(AG229)),"A",IFERROR(+MOD(AG229-AG228,1),AG227))</f>
        <v>0.59375</v>
      </c>
      <c r="AH230" s="24">
        <f t="shared" ref="AH230" si="911">IF(AND(ISBLANK(AH228),ISBLANK(AH229)),"A",IFERROR(+MOD(AH229-AH228,1),AH227))</f>
        <v>0.5902777777777779</v>
      </c>
      <c r="AI230" s="24">
        <f t="shared" ref="AI230" si="912">IF(AND(ISBLANK(AI228),ISBLANK(AI229)),"A",IFERROR(+MOD(AI229-AI228,1),AI227))</f>
        <v>0.64930555555555558</v>
      </c>
      <c r="AJ230" s="24">
        <f t="shared" ref="AJ230" si="913">IF(AND(ISBLANK(AJ228),ISBLANK(AJ229)),"A",IFERROR(+MOD(AJ229-AJ228,1),AJ227))</f>
        <v>0.625</v>
      </c>
      <c r="AK230" s="24">
        <f t="shared" ref="AK230" si="914">IF(AND(ISBLANK(AK228),ISBLANK(AK229)),"A",IFERROR(+MOD(AK229-AK228,1),AK227))</f>
        <v>0.60416666666666652</v>
      </c>
      <c r="AL230" s="24">
        <f t="shared" ref="AL230" si="915">IF(AND(ISBLANK(AL228),ISBLANK(AL229)),"A",IFERROR(+MOD(AL229-AL228,1),AL227))</f>
        <v>0.74305555555555558</v>
      </c>
      <c r="AM230" s="24" t="s">
        <v>5</v>
      </c>
      <c r="AN230" s="17">
        <f>COUNT(F230:AM230)</f>
        <v>17</v>
      </c>
      <c r="AO230" s="21"/>
    </row>
    <row r="231" spans="1:41">
      <c r="A231" s="8" t="s">
        <v>195</v>
      </c>
      <c r="B231" s="12" t="s">
        <v>231</v>
      </c>
      <c r="C231" s="8" t="s">
        <v>196</v>
      </c>
      <c r="D231" s="8" t="s">
        <v>42</v>
      </c>
      <c r="E231" s="8" t="s">
        <v>219</v>
      </c>
      <c r="F231" s="11">
        <v>45912</v>
      </c>
      <c r="G231" s="8" t="s">
        <v>32</v>
      </c>
      <c r="H231" s="12" t="s">
        <v>18</v>
      </c>
      <c r="I231" s="14" t="s">
        <v>4</v>
      </c>
      <c r="J231" s="2" t="s">
        <v>5</v>
      </c>
      <c r="K231" s="2" t="s">
        <v>5</v>
      </c>
      <c r="L231" s="2" t="s">
        <v>6</v>
      </c>
      <c r="M231" s="2" t="s">
        <v>6</v>
      </c>
      <c r="N231" s="2" t="s">
        <v>5</v>
      </c>
      <c r="O231" s="2" t="s">
        <v>6</v>
      </c>
      <c r="P231" s="2" t="s">
        <v>6</v>
      </c>
      <c r="Q231" s="2" t="s">
        <v>6</v>
      </c>
      <c r="R231" s="2" t="s">
        <v>5</v>
      </c>
      <c r="S231" s="2" t="s">
        <v>6</v>
      </c>
      <c r="T231" s="2" t="s">
        <v>6</v>
      </c>
      <c r="U231" s="2" t="s">
        <v>6</v>
      </c>
      <c r="V231" s="2" t="s">
        <v>6</v>
      </c>
      <c r="W231" s="2" t="s">
        <v>6</v>
      </c>
      <c r="X231" s="2" t="s">
        <v>6</v>
      </c>
      <c r="Y231" s="2" t="s">
        <v>6</v>
      </c>
      <c r="Z231" s="2" t="s">
        <v>6</v>
      </c>
      <c r="AA231" s="2" t="s">
        <v>6</v>
      </c>
      <c r="AB231" s="2" t="s">
        <v>6</v>
      </c>
      <c r="AC231" s="2" t="s">
        <v>6</v>
      </c>
      <c r="AD231" s="2" t="s">
        <v>6</v>
      </c>
      <c r="AE231" s="2" t="s">
        <v>6</v>
      </c>
      <c r="AF231" s="2" t="s">
        <v>5</v>
      </c>
      <c r="AG231" s="2" t="s">
        <v>6</v>
      </c>
      <c r="AH231" s="2" t="s">
        <v>6</v>
      </c>
      <c r="AI231" s="2" t="s">
        <v>6</v>
      </c>
      <c r="AJ231" s="2" t="s">
        <v>6</v>
      </c>
      <c r="AK231" s="2" t="s">
        <v>6</v>
      </c>
      <c r="AL231" s="2" t="s">
        <v>6</v>
      </c>
      <c r="AM231" s="2" t="s">
        <v>5</v>
      </c>
      <c r="AN231" s="20"/>
      <c r="AO231" s="12" t="s">
        <v>18</v>
      </c>
    </row>
    <row r="232" spans="1:41">
      <c r="A232" s="1" t="s">
        <v>195</v>
      </c>
      <c r="B232" s="12" t="s">
        <v>231</v>
      </c>
      <c r="C232" s="3" t="s">
        <v>196</v>
      </c>
      <c r="D232" s="3" t="s">
        <v>42</v>
      </c>
      <c r="E232" s="3" t="s">
        <v>219</v>
      </c>
      <c r="F232" s="6">
        <v>45912</v>
      </c>
      <c r="G232" s="5" t="s">
        <v>32</v>
      </c>
      <c r="H232" s="12" t="s">
        <v>18</v>
      </c>
      <c r="I232" s="7" t="s">
        <v>7</v>
      </c>
      <c r="J232" s="2" t="s">
        <v>5</v>
      </c>
      <c r="K232" s="2" t="s">
        <v>5</v>
      </c>
      <c r="L232" s="2">
        <v>0.375</v>
      </c>
      <c r="M232" s="2">
        <v>0.375</v>
      </c>
      <c r="N232" s="2" t="s">
        <v>5</v>
      </c>
      <c r="O232" s="2">
        <v>0.375</v>
      </c>
      <c r="P232" s="2">
        <v>0.375</v>
      </c>
      <c r="Q232" s="2">
        <v>0.375</v>
      </c>
      <c r="R232" s="2" t="s">
        <v>5</v>
      </c>
      <c r="S232" s="2">
        <v>0.375</v>
      </c>
      <c r="T232" s="2">
        <v>0.3888888888888889</v>
      </c>
      <c r="U232" s="2">
        <v>0.39583333333333331</v>
      </c>
      <c r="V232" s="2">
        <v>0.39305555555555555</v>
      </c>
      <c r="W232" s="2">
        <v>0.3923611111111111</v>
      </c>
      <c r="X232" s="2">
        <v>0.3923611111111111</v>
      </c>
      <c r="Y232" s="2">
        <v>0.375</v>
      </c>
      <c r="Z232" s="2">
        <v>0.37847222222222227</v>
      </c>
      <c r="AA232" s="2">
        <v>0.41666666666666669</v>
      </c>
      <c r="AB232" s="2">
        <v>0.40277777777777773</v>
      </c>
      <c r="AC232" s="2">
        <v>0.40277777777777773</v>
      </c>
      <c r="AD232" s="2">
        <v>0.39930555555555558</v>
      </c>
      <c r="AE232" s="2">
        <v>0.37847222222222227</v>
      </c>
      <c r="AF232" s="2" t="s">
        <v>5</v>
      </c>
      <c r="AG232" s="2">
        <v>0.40277777777777773</v>
      </c>
      <c r="AH232" s="2">
        <v>0.40625</v>
      </c>
      <c r="AI232" s="2">
        <v>0.39930555555555558</v>
      </c>
      <c r="AJ232" s="2">
        <v>0.39583333333333331</v>
      </c>
      <c r="AK232" s="2">
        <v>0.40972222222222227</v>
      </c>
      <c r="AL232" s="2">
        <v>0.40277777777777773</v>
      </c>
      <c r="AM232" s="2" t="s">
        <v>5</v>
      </c>
      <c r="AN232" s="20"/>
      <c r="AO232" s="12"/>
    </row>
    <row r="233" spans="1:41">
      <c r="A233" s="1" t="s">
        <v>195</v>
      </c>
      <c r="B233" s="12" t="s">
        <v>231</v>
      </c>
      <c r="C233" s="1" t="s">
        <v>196</v>
      </c>
      <c r="D233" s="1" t="s">
        <v>42</v>
      </c>
      <c r="E233" s="1" t="s">
        <v>219</v>
      </c>
      <c r="F233" s="6">
        <v>45912</v>
      </c>
      <c r="G233" s="1" t="s">
        <v>32</v>
      </c>
      <c r="H233" s="12" t="s">
        <v>18</v>
      </c>
      <c r="I233" s="7" t="s">
        <v>8</v>
      </c>
      <c r="J233" s="2" t="s">
        <v>5</v>
      </c>
      <c r="K233" s="2" t="s">
        <v>5</v>
      </c>
      <c r="L233" s="2">
        <v>0.875</v>
      </c>
      <c r="M233" s="2">
        <v>0.13194444444444445</v>
      </c>
      <c r="N233" s="2" t="s">
        <v>5</v>
      </c>
      <c r="O233" s="2">
        <v>1.0104166666666667</v>
      </c>
      <c r="P233" s="2">
        <v>0.95833333333333337</v>
      </c>
      <c r="Q233" s="2">
        <v>0.16666666666666666</v>
      </c>
      <c r="R233" s="2" t="s">
        <v>5</v>
      </c>
      <c r="S233" s="2">
        <v>0.92361111111111116</v>
      </c>
      <c r="T233" s="2">
        <v>1.0208333333333333</v>
      </c>
      <c r="U233" s="2">
        <v>0.94791666666666663</v>
      </c>
      <c r="V233" s="2">
        <v>0.93819444444444444</v>
      </c>
      <c r="W233" s="2">
        <v>0.94444444444444453</v>
      </c>
      <c r="X233" s="2">
        <v>0.85763888888888884</v>
      </c>
      <c r="Y233" s="2">
        <v>0.9375</v>
      </c>
      <c r="Z233" s="2">
        <v>0.88194444444444453</v>
      </c>
      <c r="AA233" s="2">
        <v>0.875</v>
      </c>
      <c r="AB233" s="2">
        <v>0.94791666666666663</v>
      </c>
      <c r="AC233" s="2">
        <v>0.86458333333333337</v>
      </c>
      <c r="AD233" s="2">
        <v>0.95833333333333337</v>
      </c>
      <c r="AE233" s="2">
        <v>6.25E-2</v>
      </c>
      <c r="AF233" s="2" t="s">
        <v>5</v>
      </c>
      <c r="AG233" s="2">
        <v>0.98611111111111116</v>
      </c>
      <c r="AH233" s="2">
        <v>0.875</v>
      </c>
      <c r="AI233" s="2">
        <v>0.94166666666666676</v>
      </c>
      <c r="AJ233" s="2">
        <v>0.98958333333333337</v>
      </c>
      <c r="AK233" s="2">
        <v>6.3888888888888884E-2</v>
      </c>
      <c r="AL233" s="2">
        <v>0.22222222222222221</v>
      </c>
      <c r="AM233" s="2" t="s">
        <v>5</v>
      </c>
      <c r="AN233" s="20"/>
      <c r="AO233" s="12"/>
    </row>
    <row r="234" spans="1:41">
      <c r="A234" s="21" t="s">
        <v>195</v>
      </c>
      <c r="B234" s="21" t="s">
        <v>231</v>
      </c>
      <c r="C234" s="21" t="s">
        <v>196</v>
      </c>
      <c r="D234" s="21" t="s">
        <v>42</v>
      </c>
      <c r="E234" s="21" t="s">
        <v>219</v>
      </c>
      <c r="F234" s="22">
        <v>45912</v>
      </c>
      <c r="G234" s="21" t="s">
        <v>32</v>
      </c>
      <c r="H234" s="21" t="s">
        <v>18</v>
      </c>
      <c r="I234" s="25" t="s">
        <v>9</v>
      </c>
      <c r="J234" s="24" t="s">
        <v>5</v>
      </c>
      <c r="K234" s="24" t="s">
        <v>5</v>
      </c>
      <c r="L234" s="24">
        <f t="shared" ref="L234" si="916">IF(AND(ISBLANK(L232),ISBLANK(L233)),"A",IFERROR(+MOD(L233-L232,1),L231))</f>
        <v>0.5</v>
      </c>
      <c r="M234" s="24">
        <f t="shared" ref="M234" si="917">IF(AND(ISBLANK(M232),ISBLANK(M233)),"A",IFERROR(+MOD(M233-M232,1),M231))</f>
        <v>0.75694444444444442</v>
      </c>
      <c r="N234" s="24" t="s">
        <v>5</v>
      </c>
      <c r="O234" s="24">
        <f t="shared" ref="O234" si="918">IF(AND(ISBLANK(O232),ISBLANK(O233)),"A",IFERROR(+MOD(O233-O232,1),O231))</f>
        <v>0.63541666666666674</v>
      </c>
      <c r="P234" s="24">
        <f t="shared" ref="P234" si="919">IF(AND(ISBLANK(P232),ISBLANK(P233)),"A",IFERROR(+MOD(P233-P232,1),P231))</f>
        <v>0.58333333333333337</v>
      </c>
      <c r="Q234" s="24">
        <f t="shared" ref="Q234" si="920">IF(AND(ISBLANK(Q232),ISBLANK(Q233)),"A",IFERROR(+MOD(Q233-Q232,1),Q231))</f>
        <v>0.79166666666666663</v>
      </c>
      <c r="R234" s="24" t="s">
        <v>5</v>
      </c>
      <c r="S234" s="24">
        <f t="shared" ref="S234" si="921">IF(AND(ISBLANK(S232),ISBLANK(S233)),"A",IFERROR(+MOD(S233-S232,1),S231))</f>
        <v>0.54861111111111116</v>
      </c>
      <c r="T234" s="24">
        <f t="shared" ref="T234" si="922">IF(AND(ISBLANK(T232),ISBLANK(T233)),"A",IFERROR(+MOD(T233-T232,1),T231))</f>
        <v>0.63194444444444442</v>
      </c>
      <c r="U234" s="24">
        <f t="shared" ref="U234" si="923">IF(AND(ISBLANK(U232),ISBLANK(U233)),"A",IFERROR(+MOD(U233-U232,1),U231))</f>
        <v>0.55208333333333326</v>
      </c>
      <c r="V234" s="24">
        <f t="shared" ref="V234" si="924">IF(AND(ISBLANK(V232),ISBLANK(V233)),"A",IFERROR(+MOD(V233-V232,1),V231))</f>
        <v>0.54513888888888884</v>
      </c>
      <c r="W234" s="24">
        <f t="shared" ref="W234" si="925">IF(AND(ISBLANK(W232),ISBLANK(W233)),"A",IFERROR(+MOD(W233-W232,1),W231))</f>
        <v>0.55208333333333348</v>
      </c>
      <c r="X234" s="24">
        <f t="shared" ref="X234" si="926">IF(AND(ISBLANK(X232),ISBLANK(X233)),"A",IFERROR(+MOD(X233-X232,1),X231))</f>
        <v>0.46527777777777773</v>
      </c>
      <c r="Y234" s="24">
        <f t="shared" ref="Y234" si="927">IF(AND(ISBLANK(Y232),ISBLANK(Y233)),"A",IFERROR(+MOD(Y233-Y232,1),Y231))</f>
        <v>0.5625</v>
      </c>
      <c r="Z234" s="24">
        <f t="shared" ref="Z234" si="928">IF(AND(ISBLANK(Z232),ISBLANK(Z233)),"A",IFERROR(+MOD(Z233-Z232,1),Z231))</f>
        <v>0.50347222222222232</v>
      </c>
      <c r="AA234" s="24">
        <f t="shared" ref="AA234" si="929">IF(AND(ISBLANK(AA232),ISBLANK(AA233)),"A",IFERROR(+MOD(AA233-AA232,1),AA231))</f>
        <v>0.45833333333333331</v>
      </c>
      <c r="AB234" s="24">
        <f t="shared" ref="AB234" si="930">IF(AND(ISBLANK(AB232),ISBLANK(AB233)),"A",IFERROR(+MOD(AB233-AB232,1),AB231))</f>
        <v>0.54513888888888884</v>
      </c>
      <c r="AC234" s="24">
        <f t="shared" ref="AC234" si="931">IF(AND(ISBLANK(AC232),ISBLANK(AC233)),"A",IFERROR(+MOD(AC233-AC232,1),AC231))</f>
        <v>0.46180555555555564</v>
      </c>
      <c r="AD234" s="24">
        <f t="shared" ref="AD234" si="932">IF(AND(ISBLANK(AD232),ISBLANK(AD233)),"A",IFERROR(+MOD(AD233-AD232,1),AD231))</f>
        <v>0.55902777777777779</v>
      </c>
      <c r="AE234" s="24">
        <f t="shared" ref="AE234" si="933">IF(AND(ISBLANK(AE232),ISBLANK(AE233)),"A",IFERROR(+MOD(AE233-AE232,1),AE231))</f>
        <v>0.68402777777777768</v>
      </c>
      <c r="AF234" s="24" t="s">
        <v>5</v>
      </c>
      <c r="AG234" s="24">
        <f t="shared" ref="AG234" si="934">IF(AND(ISBLANK(AG232),ISBLANK(AG233)),"A",IFERROR(+MOD(AG233-AG232,1),AG231))</f>
        <v>0.58333333333333348</v>
      </c>
      <c r="AH234" s="24">
        <f t="shared" ref="AH234" si="935">IF(AND(ISBLANK(AH232),ISBLANK(AH233)),"A",IFERROR(+MOD(AH233-AH232,1),AH231))</f>
        <v>0.46875</v>
      </c>
      <c r="AI234" s="24">
        <f t="shared" ref="AI234" si="936">IF(AND(ISBLANK(AI232),ISBLANK(AI233)),"A",IFERROR(+MOD(AI233-AI232,1),AI231))</f>
        <v>0.54236111111111118</v>
      </c>
      <c r="AJ234" s="24">
        <f t="shared" ref="AJ234" si="937">IF(AND(ISBLANK(AJ232),ISBLANK(AJ233)),"A",IFERROR(+MOD(AJ233-AJ232,1),AJ231))</f>
        <v>0.59375</v>
      </c>
      <c r="AK234" s="24">
        <f t="shared" ref="AK234" si="938">IF(AND(ISBLANK(AK232),ISBLANK(AK233)),"A",IFERROR(+MOD(AK233-AK232,1),AK231))</f>
        <v>0.65416666666666656</v>
      </c>
      <c r="AL234" s="24">
        <f t="shared" ref="AL234" si="939">IF(AND(ISBLANK(AL232),ISBLANK(AL233)),"A",IFERROR(+MOD(AL233-AL232,1),AL231))</f>
        <v>0.81944444444444442</v>
      </c>
      <c r="AM234" s="24" t="s">
        <v>5</v>
      </c>
      <c r="AN234" s="17">
        <f>COUNT(F234:AM234)</f>
        <v>25</v>
      </c>
      <c r="AO234" s="21"/>
    </row>
    <row r="235" spans="1:41">
      <c r="A235" s="8" t="s">
        <v>198</v>
      </c>
      <c r="B235" s="12" t="s">
        <v>235</v>
      </c>
      <c r="C235" s="8" t="s">
        <v>71</v>
      </c>
      <c r="D235" s="8" t="s">
        <v>42</v>
      </c>
      <c r="E235" s="8" t="s">
        <v>197</v>
      </c>
      <c r="F235" s="11">
        <v>45915</v>
      </c>
      <c r="G235" s="8" t="s">
        <v>32</v>
      </c>
      <c r="H235" s="12" t="s">
        <v>18</v>
      </c>
      <c r="I235" s="14" t="s">
        <v>4</v>
      </c>
      <c r="J235" s="2" t="s">
        <v>5</v>
      </c>
      <c r="K235" s="2" t="s">
        <v>5</v>
      </c>
      <c r="L235" s="2" t="s">
        <v>6</v>
      </c>
      <c r="M235" s="2" t="s">
        <v>6</v>
      </c>
      <c r="N235" s="2" t="s">
        <v>6</v>
      </c>
      <c r="O235" s="2" t="s">
        <v>6</v>
      </c>
      <c r="P235" s="2" t="s">
        <v>6</v>
      </c>
      <c r="Q235" s="2" t="s">
        <v>6</v>
      </c>
      <c r="R235" s="2" t="s">
        <v>5</v>
      </c>
      <c r="S235" s="2" t="s">
        <v>6</v>
      </c>
      <c r="T235" s="2" t="s">
        <v>6</v>
      </c>
      <c r="U235" s="2" t="s">
        <v>6</v>
      </c>
      <c r="V235" s="2" t="s">
        <v>6</v>
      </c>
      <c r="W235" s="2" t="s">
        <v>6</v>
      </c>
      <c r="X235" s="2" t="s">
        <v>6</v>
      </c>
      <c r="Y235" s="2" t="s">
        <v>5</v>
      </c>
      <c r="Z235" s="2" t="s">
        <v>6</v>
      </c>
      <c r="AA235" s="2" t="s">
        <v>6</v>
      </c>
      <c r="AB235" s="2" t="s">
        <v>6</v>
      </c>
      <c r="AC235" s="2" t="s">
        <v>6</v>
      </c>
      <c r="AD235" s="2" t="s">
        <v>6</v>
      </c>
      <c r="AE235" s="2" t="s">
        <v>6</v>
      </c>
      <c r="AF235" s="2" t="s">
        <v>5</v>
      </c>
      <c r="AG235" s="2" t="s">
        <v>6</v>
      </c>
      <c r="AH235" s="2" t="s">
        <v>6</v>
      </c>
      <c r="AI235" s="2" t="s">
        <v>6</v>
      </c>
      <c r="AJ235" s="2" t="s">
        <v>6</v>
      </c>
      <c r="AK235" s="2" t="s">
        <v>6</v>
      </c>
      <c r="AL235" s="2" t="s">
        <v>6</v>
      </c>
      <c r="AM235" s="2" t="s">
        <v>6</v>
      </c>
      <c r="AN235" s="20"/>
      <c r="AO235" s="12" t="s">
        <v>18</v>
      </c>
    </row>
    <row r="236" spans="1:41">
      <c r="A236" s="1" t="s">
        <v>198</v>
      </c>
      <c r="B236" s="12" t="s">
        <v>235</v>
      </c>
      <c r="C236" s="3" t="s">
        <v>71</v>
      </c>
      <c r="D236" s="3" t="s">
        <v>42</v>
      </c>
      <c r="E236" s="3" t="s">
        <v>197</v>
      </c>
      <c r="F236" s="6">
        <v>45915</v>
      </c>
      <c r="G236" s="5" t="s">
        <v>32</v>
      </c>
      <c r="H236" s="12" t="s">
        <v>18</v>
      </c>
      <c r="I236" s="7" t="s">
        <v>7</v>
      </c>
      <c r="J236" s="2" t="s">
        <v>5</v>
      </c>
      <c r="K236" s="2" t="s">
        <v>5</v>
      </c>
      <c r="L236" s="2">
        <v>0.375</v>
      </c>
      <c r="M236" s="2">
        <v>0.54166666666666663</v>
      </c>
      <c r="N236" s="2">
        <v>0.41666666666666669</v>
      </c>
      <c r="O236" s="2">
        <v>0.40277777777777773</v>
      </c>
      <c r="P236" s="2">
        <v>0.45833333333333331</v>
      </c>
      <c r="Q236" s="2">
        <v>0.41666666666666669</v>
      </c>
      <c r="R236" s="2" t="s">
        <v>5</v>
      </c>
      <c r="S236" s="2">
        <v>0.38194444444444442</v>
      </c>
      <c r="T236" s="2">
        <v>0.38541666666666669</v>
      </c>
      <c r="U236" s="2">
        <v>0.41666666666666669</v>
      </c>
      <c r="V236" s="2">
        <v>0.39583333333333331</v>
      </c>
      <c r="W236" s="2">
        <v>0.3923611111111111</v>
      </c>
      <c r="X236" s="2">
        <v>0.39583333333333331</v>
      </c>
      <c r="Y236" s="2" t="s">
        <v>5</v>
      </c>
      <c r="Z236" s="2">
        <v>0.3923611111111111</v>
      </c>
      <c r="AA236" s="2">
        <v>0.3888888888888889</v>
      </c>
      <c r="AB236" s="2">
        <v>0.3888888888888889</v>
      </c>
      <c r="AC236" s="2">
        <v>0.4548611111111111</v>
      </c>
      <c r="AD236" s="2">
        <v>0.4236111111111111</v>
      </c>
      <c r="AE236" s="2">
        <v>0.41666666666666669</v>
      </c>
      <c r="AF236" s="2" t="s">
        <v>5</v>
      </c>
      <c r="AG236" s="2">
        <v>0.375</v>
      </c>
      <c r="AH236" s="2">
        <v>0.4375</v>
      </c>
      <c r="AI236" s="2">
        <v>0.45833333333333331</v>
      </c>
      <c r="AJ236" s="2">
        <v>0.45833333333333331</v>
      </c>
      <c r="AK236" s="2">
        <v>0.45833333333333331</v>
      </c>
      <c r="AL236" s="2">
        <v>0.47916666666666669</v>
      </c>
      <c r="AM236" s="2">
        <v>0.45833333333333331</v>
      </c>
      <c r="AN236" s="20"/>
      <c r="AO236" s="12"/>
    </row>
    <row r="237" spans="1:41">
      <c r="A237" s="1" t="s">
        <v>198</v>
      </c>
      <c r="B237" s="12" t="s">
        <v>235</v>
      </c>
      <c r="C237" s="1" t="s">
        <v>71</v>
      </c>
      <c r="D237" s="1" t="s">
        <v>42</v>
      </c>
      <c r="E237" s="1" t="s">
        <v>197</v>
      </c>
      <c r="F237" s="6">
        <v>45915</v>
      </c>
      <c r="G237" s="1" t="s">
        <v>32</v>
      </c>
      <c r="H237" s="12" t="s">
        <v>18</v>
      </c>
      <c r="I237" s="7" t="s">
        <v>8</v>
      </c>
      <c r="J237" s="2" t="s">
        <v>5</v>
      </c>
      <c r="K237" s="2" t="s">
        <v>5</v>
      </c>
      <c r="L237" s="2">
        <v>0.20833333333333334</v>
      </c>
      <c r="M237" s="2">
        <v>1.0138888888888888</v>
      </c>
      <c r="N237" s="2">
        <v>0.95833333333333337</v>
      </c>
      <c r="O237" s="2">
        <v>0.125</v>
      </c>
      <c r="P237" s="2">
        <v>0.91666666666666663</v>
      </c>
      <c r="Q237" s="2">
        <v>0.16666666666666666</v>
      </c>
      <c r="R237" s="2" t="s">
        <v>5</v>
      </c>
      <c r="S237" s="2">
        <v>0.97222222222222221</v>
      </c>
      <c r="T237" s="2">
        <v>0.95833333333333337</v>
      </c>
      <c r="U237" s="2">
        <v>0.96875</v>
      </c>
      <c r="V237" s="2">
        <v>0.89930555555555547</v>
      </c>
      <c r="W237" s="2">
        <v>1.0006944444444443</v>
      </c>
      <c r="X237" s="2">
        <v>0.125</v>
      </c>
      <c r="Y237" s="2" t="s">
        <v>5</v>
      </c>
      <c r="Z237" s="2">
        <v>0.95833333333333337</v>
      </c>
      <c r="AA237" s="2">
        <v>0.9375</v>
      </c>
      <c r="AB237" s="2">
        <v>0.10416666666666667</v>
      </c>
      <c r="AC237" s="2">
        <v>1.0069444444444444</v>
      </c>
      <c r="AD237" s="2">
        <v>1.0173611111111112</v>
      </c>
      <c r="AE237" s="2">
        <v>5.2083333333333336E-2</v>
      </c>
      <c r="AF237" s="2" t="s">
        <v>5</v>
      </c>
      <c r="AG237" s="2">
        <v>4.5138888888888888E-2</v>
      </c>
      <c r="AH237" s="2">
        <v>6.25E-2</v>
      </c>
      <c r="AI237" s="2">
        <v>1</v>
      </c>
      <c r="AJ237" s="2">
        <v>0.125</v>
      </c>
      <c r="AK237" s="2">
        <v>8.3333333333333329E-2</v>
      </c>
      <c r="AL237" s="2">
        <v>4.1666666666666664E-2</v>
      </c>
      <c r="AM237" s="2">
        <v>0.98611111111111116</v>
      </c>
      <c r="AN237" s="20"/>
      <c r="AO237" s="12"/>
    </row>
    <row r="238" spans="1:41">
      <c r="A238" s="21" t="s">
        <v>198</v>
      </c>
      <c r="B238" s="21" t="s">
        <v>235</v>
      </c>
      <c r="C238" s="21" t="s">
        <v>71</v>
      </c>
      <c r="D238" s="21" t="s">
        <v>42</v>
      </c>
      <c r="E238" s="21" t="s">
        <v>197</v>
      </c>
      <c r="F238" s="22">
        <v>45915</v>
      </c>
      <c r="G238" s="21" t="s">
        <v>32</v>
      </c>
      <c r="H238" s="21" t="s">
        <v>18</v>
      </c>
      <c r="I238" s="25" t="s">
        <v>9</v>
      </c>
      <c r="J238" s="24" t="s">
        <v>5</v>
      </c>
      <c r="K238" s="24" t="s">
        <v>5</v>
      </c>
      <c r="L238" s="24">
        <f t="shared" ref="L238" si="940">IF(AND(ISBLANK(L236),ISBLANK(L237)),"A",IFERROR(+MOD(L237-L236,1),L235))</f>
        <v>0.83333333333333337</v>
      </c>
      <c r="M238" s="24">
        <f t="shared" ref="M238" si="941">IF(AND(ISBLANK(M236),ISBLANK(M237)),"A",IFERROR(+MOD(M237-M236,1),M235))</f>
        <v>0.47222222222222221</v>
      </c>
      <c r="N238" s="24">
        <f t="shared" ref="N238" si="942">IF(AND(ISBLANK(N236),ISBLANK(N237)),"A",IFERROR(+MOD(N237-N236,1),N235))</f>
        <v>0.54166666666666674</v>
      </c>
      <c r="O238" s="24">
        <f t="shared" ref="O238" si="943">IF(AND(ISBLANK(O236),ISBLANK(O237)),"A",IFERROR(+MOD(O237-O236,1),O235))</f>
        <v>0.72222222222222232</v>
      </c>
      <c r="P238" s="24">
        <f t="shared" ref="P238" si="944">IF(AND(ISBLANK(P236),ISBLANK(P237)),"A",IFERROR(+MOD(P237-P236,1),P235))</f>
        <v>0.45833333333333331</v>
      </c>
      <c r="Q238" s="24">
        <f t="shared" ref="Q238" si="945">IF(AND(ISBLANK(Q236),ISBLANK(Q237)),"A",IFERROR(+MOD(Q237-Q236,1),Q235))</f>
        <v>0.75</v>
      </c>
      <c r="R238" s="24" t="s">
        <v>5</v>
      </c>
      <c r="S238" s="24">
        <f t="shared" ref="S238" si="946">IF(AND(ISBLANK(S236),ISBLANK(S237)),"A",IFERROR(+MOD(S237-S236,1),S235))</f>
        <v>0.59027777777777779</v>
      </c>
      <c r="T238" s="24">
        <f t="shared" ref="T238" si="947">IF(AND(ISBLANK(T236),ISBLANK(T237)),"A",IFERROR(+MOD(T237-T236,1),T235))</f>
        <v>0.57291666666666674</v>
      </c>
      <c r="U238" s="24">
        <f t="shared" ref="U238" si="948">IF(AND(ISBLANK(U236),ISBLANK(U237)),"A",IFERROR(+MOD(U237-U236,1),U235))</f>
        <v>0.55208333333333326</v>
      </c>
      <c r="V238" s="24">
        <f t="shared" ref="V238" si="949">IF(AND(ISBLANK(V236),ISBLANK(V237)),"A",IFERROR(+MOD(V237-V236,1),V235))</f>
        <v>0.5034722222222221</v>
      </c>
      <c r="W238" s="24">
        <f t="shared" ref="W238" si="950">IF(AND(ISBLANK(W236),ISBLANK(W237)),"A",IFERROR(+MOD(W237-W236,1),W235))</f>
        <v>0.60833333333333317</v>
      </c>
      <c r="X238" s="24">
        <f t="shared" ref="X238" si="951">IF(AND(ISBLANK(X236),ISBLANK(X237)),"A",IFERROR(+MOD(X237-X236,1),X235))</f>
        <v>0.72916666666666674</v>
      </c>
      <c r="Y238" s="24" t="s">
        <v>5</v>
      </c>
      <c r="Z238" s="24">
        <f t="shared" ref="Z238" si="952">IF(AND(ISBLANK(Z236),ISBLANK(Z237)),"A",IFERROR(+MOD(Z237-Z236,1),Z235))</f>
        <v>0.56597222222222232</v>
      </c>
      <c r="AA238" s="24">
        <f t="shared" ref="AA238" si="953">IF(AND(ISBLANK(AA236),ISBLANK(AA237)),"A",IFERROR(+MOD(AA237-AA236,1),AA235))</f>
        <v>0.54861111111111116</v>
      </c>
      <c r="AB238" s="24">
        <f t="shared" ref="AB238:AC238" si="954">IF(AND(ISBLANK(AB236),ISBLANK(AB237)),"A",IFERROR(+MOD(AB237-AB236,1),AB235))</f>
        <v>0.71527777777777779</v>
      </c>
      <c r="AC238" s="24">
        <f t="shared" si="954"/>
        <v>0.55208333333333326</v>
      </c>
      <c r="AD238" s="24">
        <f t="shared" ref="AD238" si="955">IF(AND(ISBLANK(AD236),ISBLANK(AD237)),"A",IFERROR(+MOD(AD237-AD236,1),AD235))</f>
        <v>0.59375</v>
      </c>
      <c r="AE238" s="24">
        <f t="shared" ref="AE238" si="956">IF(AND(ISBLANK(AE236),ISBLANK(AE237)),"A",IFERROR(+MOD(AE237-AE236,1),AE235))</f>
        <v>0.63541666666666663</v>
      </c>
      <c r="AF238" s="24" t="s">
        <v>5</v>
      </c>
      <c r="AG238" s="24">
        <f t="shared" ref="AG238" si="957">IF(AND(ISBLANK(AG236),ISBLANK(AG237)),"A",IFERROR(+MOD(AG237-AG236,1),AG235))</f>
        <v>0.67013888888888884</v>
      </c>
      <c r="AH238" s="24">
        <f t="shared" ref="AH238" si="958">IF(AND(ISBLANK(AH236),ISBLANK(AH237)),"A",IFERROR(+MOD(AH237-AH236,1),AH235))</f>
        <v>0.625</v>
      </c>
      <c r="AI238" s="24">
        <f t="shared" ref="AI238:AJ238" si="959">IF(AND(ISBLANK(AI236),ISBLANK(AI237)),"A",IFERROR(+MOD(AI237-AI236,1),AI235))</f>
        <v>0.54166666666666674</v>
      </c>
      <c r="AJ238" s="24">
        <f t="shared" si="959"/>
        <v>0.66666666666666674</v>
      </c>
      <c r="AK238" s="24">
        <f t="shared" ref="AK238:AL238" si="960">IF(AND(ISBLANK(AK236),ISBLANK(AK237)),"A",IFERROR(+MOD(AK237-AK236,1),AK235))</f>
        <v>0.625</v>
      </c>
      <c r="AL238" s="24">
        <f t="shared" si="960"/>
        <v>0.5625</v>
      </c>
      <c r="AM238" s="24">
        <f t="shared" ref="AM238" si="961">IF(AND(ISBLANK(AM236),ISBLANK(AM237)),"A",IFERROR(+MOD(AM237-AM236,1),AM235))</f>
        <v>0.5277777777777779</v>
      </c>
      <c r="AN238" s="17">
        <f>COUNT(F238:AM238)</f>
        <v>26</v>
      </c>
      <c r="AO238" s="21"/>
    </row>
    <row r="239" spans="1:41">
      <c r="A239" s="8" t="s">
        <v>202</v>
      </c>
      <c r="B239" s="12" t="s">
        <v>235</v>
      </c>
      <c r="C239" s="8" t="s">
        <v>200</v>
      </c>
      <c r="D239" s="8" t="s">
        <v>41</v>
      </c>
      <c r="E239" s="8" t="s">
        <v>201</v>
      </c>
      <c r="F239" s="11">
        <v>45915</v>
      </c>
      <c r="G239" s="8" t="s">
        <v>32</v>
      </c>
      <c r="H239" s="12" t="s">
        <v>18</v>
      </c>
      <c r="I239" s="14" t="s">
        <v>4</v>
      </c>
      <c r="J239" s="2" t="s">
        <v>6</v>
      </c>
      <c r="K239" s="2" t="s">
        <v>5</v>
      </c>
      <c r="L239" s="2" t="s">
        <v>6</v>
      </c>
      <c r="M239" s="2" t="s">
        <v>6</v>
      </c>
      <c r="N239" s="2" t="s">
        <v>6</v>
      </c>
      <c r="O239" s="2" t="s">
        <v>6</v>
      </c>
      <c r="P239" s="2" t="s">
        <v>6</v>
      </c>
      <c r="Q239" s="2" t="s">
        <v>6</v>
      </c>
      <c r="R239" s="2" t="s">
        <v>5</v>
      </c>
      <c r="S239" s="2" t="s">
        <v>6</v>
      </c>
      <c r="T239" s="2" t="s">
        <v>6</v>
      </c>
      <c r="U239" s="2" t="s">
        <v>6</v>
      </c>
      <c r="V239" s="2" t="s">
        <v>6</v>
      </c>
      <c r="W239" s="2" t="s">
        <v>6</v>
      </c>
      <c r="X239" s="2" t="s">
        <v>6</v>
      </c>
      <c r="Y239" s="2" t="s">
        <v>6</v>
      </c>
      <c r="Z239" s="2" t="s">
        <v>6</v>
      </c>
      <c r="AA239" s="2" t="s">
        <v>6</v>
      </c>
      <c r="AB239" s="2" t="s">
        <v>6</v>
      </c>
      <c r="AC239" s="2" t="s">
        <v>6</v>
      </c>
      <c r="AD239" s="2" t="s">
        <v>6</v>
      </c>
      <c r="AE239" s="2" t="s">
        <v>6</v>
      </c>
      <c r="AF239" s="2" t="s">
        <v>5</v>
      </c>
      <c r="AG239" s="2" t="s">
        <v>6</v>
      </c>
      <c r="AH239" s="2" t="s">
        <v>6</v>
      </c>
      <c r="AI239" s="2" t="s">
        <v>5</v>
      </c>
      <c r="AJ239" s="2" t="s">
        <v>6</v>
      </c>
      <c r="AK239" s="2" t="s">
        <v>6</v>
      </c>
      <c r="AL239" s="2" t="s">
        <v>6</v>
      </c>
      <c r="AM239" s="2" t="s">
        <v>6</v>
      </c>
      <c r="AN239" s="20"/>
      <c r="AO239" s="12" t="s">
        <v>18</v>
      </c>
    </row>
    <row r="240" spans="1:41">
      <c r="A240" s="1" t="s">
        <v>202</v>
      </c>
      <c r="B240" s="12" t="s">
        <v>235</v>
      </c>
      <c r="C240" s="3" t="s">
        <v>200</v>
      </c>
      <c r="D240" s="3" t="s">
        <v>41</v>
      </c>
      <c r="E240" s="3" t="s">
        <v>201</v>
      </c>
      <c r="F240" s="6">
        <v>45915</v>
      </c>
      <c r="G240" s="5" t="s">
        <v>32</v>
      </c>
      <c r="H240" s="12" t="s">
        <v>18</v>
      </c>
      <c r="I240" s="7" t="s">
        <v>7</v>
      </c>
      <c r="J240" s="2">
        <v>0.375</v>
      </c>
      <c r="K240" s="2" t="s">
        <v>5</v>
      </c>
      <c r="L240" s="2">
        <v>0.375</v>
      </c>
      <c r="M240" s="2">
        <v>0.375</v>
      </c>
      <c r="N240" s="2">
        <v>0.41666666666666669</v>
      </c>
      <c r="O240" s="2">
        <v>0.375</v>
      </c>
      <c r="P240" s="2">
        <v>0.45833333333333331</v>
      </c>
      <c r="Q240" s="2">
        <v>0.41666666666666669</v>
      </c>
      <c r="R240" s="2" t="s">
        <v>5</v>
      </c>
      <c r="S240" s="2">
        <v>0.40277777777777773</v>
      </c>
      <c r="T240" s="2">
        <v>0.38541666666666669</v>
      </c>
      <c r="U240" s="2">
        <v>0.4861111111111111</v>
      </c>
      <c r="V240" s="2">
        <v>0.38194444444444442</v>
      </c>
      <c r="W240" s="2">
        <v>0.40625</v>
      </c>
      <c r="X240" s="2">
        <v>0.39583333333333331</v>
      </c>
      <c r="Y240" s="2">
        <v>0.46527777777777773</v>
      </c>
      <c r="Z240" s="2">
        <v>0.5</v>
      </c>
      <c r="AA240" s="2">
        <v>0.41666666666666669</v>
      </c>
      <c r="AB240" s="2">
        <v>0.40347222222222223</v>
      </c>
      <c r="AC240" s="2">
        <v>0.625</v>
      </c>
      <c r="AD240" s="2">
        <v>0.43055555555555558</v>
      </c>
      <c r="AE240" s="2">
        <v>0.4236111111111111</v>
      </c>
      <c r="AF240" s="2" t="s">
        <v>5</v>
      </c>
      <c r="AG240" s="2">
        <v>0.41666666666666669</v>
      </c>
      <c r="AH240" s="2">
        <v>0.4375</v>
      </c>
      <c r="AI240" s="2" t="s">
        <v>5</v>
      </c>
      <c r="AJ240" s="2">
        <v>0.375</v>
      </c>
      <c r="AK240" s="2">
        <v>0.40625</v>
      </c>
      <c r="AL240" s="2">
        <v>0.45833333333333331</v>
      </c>
      <c r="AM240" s="2">
        <v>0.45833333333333331</v>
      </c>
      <c r="AN240" s="20"/>
      <c r="AO240" s="12"/>
    </row>
    <row r="241" spans="1:41">
      <c r="A241" s="1" t="s">
        <v>202</v>
      </c>
      <c r="B241" s="12" t="s">
        <v>235</v>
      </c>
      <c r="C241" s="1" t="s">
        <v>200</v>
      </c>
      <c r="D241" s="1" t="s">
        <v>41</v>
      </c>
      <c r="E241" s="1" t="s">
        <v>201</v>
      </c>
      <c r="F241" s="6">
        <v>45915</v>
      </c>
      <c r="G241" s="1" t="s">
        <v>32</v>
      </c>
      <c r="H241" s="12" t="s">
        <v>18</v>
      </c>
      <c r="I241" s="7" t="s">
        <v>8</v>
      </c>
      <c r="J241" s="2">
        <v>4.1666666666666664E-2</v>
      </c>
      <c r="K241" s="2" t="s">
        <v>5</v>
      </c>
      <c r="L241" s="2">
        <v>0.91666666666666663</v>
      </c>
      <c r="M241" s="2">
        <v>1.0138888888888888</v>
      </c>
      <c r="N241" s="2">
        <v>0.95833333333333337</v>
      </c>
      <c r="O241" s="2">
        <v>0.125</v>
      </c>
      <c r="P241" s="2">
        <v>0.95833333333333337</v>
      </c>
      <c r="Q241" s="2">
        <v>0.17708333333333334</v>
      </c>
      <c r="R241" s="2" t="s">
        <v>5</v>
      </c>
      <c r="S241" s="2">
        <v>0.97222222222222221</v>
      </c>
      <c r="T241" s="2">
        <v>5.9027777777777783E-2</v>
      </c>
      <c r="U241" s="2">
        <v>0.97222222222222221</v>
      </c>
      <c r="V241" s="2">
        <v>0.91666666666666663</v>
      </c>
      <c r="W241" s="2">
        <v>1.0006944444444443</v>
      </c>
      <c r="X241" s="2">
        <v>0.125</v>
      </c>
      <c r="Y241" s="2">
        <v>0.98125000000000007</v>
      </c>
      <c r="Z241" s="2">
        <v>1.0208333333333333</v>
      </c>
      <c r="AA241" s="2">
        <v>0.75</v>
      </c>
      <c r="AB241" s="2">
        <v>0.10416666666666667</v>
      </c>
      <c r="AC241" s="2">
        <v>6.25E-2</v>
      </c>
      <c r="AD241" s="2">
        <v>1.0173611111111112</v>
      </c>
      <c r="AE241" s="2">
        <v>4.1666666666666664E-2</v>
      </c>
      <c r="AF241" s="2" t="s">
        <v>5</v>
      </c>
      <c r="AG241" s="2">
        <v>4.5138888888888888E-2</v>
      </c>
      <c r="AH241" s="2">
        <v>6.25E-2</v>
      </c>
      <c r="AI241" s="2" t="s">
        <v>5</v>
      </c>
      <c r="AJ241" s="2">
        <v>0.96875</v>
      </c>
      <c r="AK241" s="2">
        <v>8.6805555555555566E-2</v>
      </c>
      <c r="AL241" s="2">
        <v>4.1666666666666664E-2</v>
      </c>
      <c r="AM241" s="2">
        <v>0.98611111111111116</v>
      </c>
      <c r="AN241" s="20"/>
      <c r="AO241" s="12"/>
    </row>
    <row r="242" spans="1:41">
      <c r="A242" s="21" t="s">
        <v>202</v>
      </c>
      <c r="B242" s="21" t="s">
        <v>235</v>
      </c>
      <c r="C242" s="21" t="s">
        <v>200</v>
      </c>
      <c r="D242" s="21" t="s">
        <v>41</v>
      </c>
      <c r="E242" s="21" t="s">
        <v>201</v>
      </c>
      <c r="F242" s="22">
        <v>45915</v>
      </c>
      <c r="G242" s="21" t="s">
        <v>32</v>
      </c>
      <c r="H242" s="21" t="s">
        <v>18</v>
      </c>
      <c r="I242" s="25" t="s">
        <v>9</v>
      </c>
      <c r="J242" s="24">
        <f>IF(AND(ISBLANK(J240),ISBLANK(J241)),"A",IFERROR(+MOD(J241-J240,1),J239))</f>
        <v>0.66666666666666674</v>
      </c>
      <c r="K242" s="24" t="s">
        <v>5</v>
      </c>
      <c r="L242" s="24">
        <f t="shared" ref="L242" si="962">IF(AND(ISBLANK(L240),ISBLANK(L241)),"A",IFERROR(+MOD(L241-L240,1),L239))</f>
        <v>0.54166666666666663</v>
      </c>
      <c r="M242" s="24">
        <f t="shared" ref="M242" si="963">IF(AND(ISBLANK(M240),ISBLANK(M241)),"A",IFERROR(+MOD(M241-M240,1),M239))</f>
        <v>0.63888888888888884</v>
      </c>
      <c r="N242" s="24">
        <f t="shared" ref="N242" si="964">IF(AND(ISBLANK(N240),ISBLANK(N241)),"A",IFERROR(+MOD(N241-N240,1),N239))</f>
        <v>0.54166666666666674</v>
      </c>
      <c r="O242" s="24">
        <f t="shared" ref="O242" si="965">IF(AND(ISBLANK(O240),ISBLANK(O241)),"A",IFERROR(+MOD(O241-O240,1),O239))</f>
        <v>0.75</v>
      </c>
      <c r="P242" s="24">
        <f t="shared" ref="P242" si="966">IF(AND(ISBLANK(P240),ISBLANK(P241)),"A",IFERROR(+MOD(P241-P240,1),P239))</f>
        <v>0.5</v>
      </c>
      <c r="Q242" s="24">
        <f t="shared" ref="Q242" si="967">IF(AND(ISBLANK(Q240),ISBLANK(Q241)),"A",IFERROR(+MOD(Q241-Q240,1),Q239))</f>
        <v>0.76041666666666663</v>
      </c>
      <c r="R242" s="24" t="s">
        <v>5</v>
      </c>
      <c r="S242" s="24">
        <f t="shared" ref="S242" si="968">IF(AND(ISBLANK(S240),ISBLANK(S241)),"A",IFERROR(+MOD(S241-S240,1),S239))</f>
        <v>0.56944444444444442</v>
      </c>
      <c r="T242" s="24">
        <f t="shared" ref="T242:U242" si="969">IF(AND(ISBLANK(T240),ISBLANK(T241)),"A",IFERROR(+MOD(T241-T240,1),T239))</f>
        <v>0.67361111111111116</v>
      </c>
      <c r="U242" s="24">
        <f t="shared" si="969"/>
        <v>0.4861111111111111</v>
      </c>
      <c r="V242" s="24">
        <f t="shared" ref="V242" si="970">IF(AND(ISBLANK(V240),ISBLANK(V241)),"A",IFERROR(+MOD(V241-V240,1),V239))</f>
        <v>0.53472222222222221</v>
      </c>
      <c r="W242" s="24">
        <f t="shared" ref="W242" si="971">IF(AND(ISBLANK(W240),ISBLANK(W241)),"A",IFERROR(+MOD(W241-W240,1),W239))</f>
        <v>0.59444444444444433</v>
      </c>
      <c r="X242" s="24">
        <f t="shared" ref="X242" si="972">IF(AND(ISBLANK(X240),ISBLANK(X241)),"A",IFERROR(+MOD(X241-X240,1),X239))</f>
        <v>0.72916666666666674</v>
      </c>
      <c r="Y242" s="24">
        <f t="shared" ref="Y242:Z242" si="973">IF(AND(ISBLANK(Y240),ISBLANK(Y241)),"A",IFERROR(+MOD(Y241-Y240,1),Y239))</f>
        <v>0.51597222222222228</v>
      </c>
      <c r="Z242" s="24">
        <f t="shared" si="973"/>
        <v>0.52083333333333326</v>
      </c>
      <c r="AA242" s="24">
        <f t="shared" ref="AA242" si="974">IF(AND(ISBLANK(AA240),ISBLANK(AA241)),"A",IFERROR(+MOD(AA241-AA240,1),AA239))</f>
        <v>0.33333333333333331</v>
      </c>
      <c r="AB242" s="24">
        <f t="shared" ref="AB242" si="975">IF(AND(ISBLANK(AB240),ISBLANK(AB241)),"A",IFERROR(+MOD(AB241-AB240,1),AB239))</f>
        <v>0.70069444444444451</v>
      </c>
      <c r="AC242" s="24">
        <f t="shared" ref="AC242" si="976">IF(AND(ISBLANK(AC240),ISBLANK(AC241)),"A",IFERROR(+MOD(AC241-AC240,1),AC239))</f>
        <v>0.4375</v>
      </c>
      <c r="AD242" s="24">
        <f t="shared" ref="AD242" si="977">IF(AND(ISBLANK(AD240),ISBLANK(AD241)),"A",IFERROR(+MOD(AD241-AD240,1),AD239))</f>
        <v>0.58680555555555558</v>
      </c>
      <c r="AE242" s="24">
        <f t="shared" ref="AE242" si="978">IF(AND(ISBLANK(AE240),ISBLANK(AE241)),"A",IFERROR(+MOD(AE241-AE240,1),AE239))</f>
        <v>0.61805555555555558</v>
      </c>
      <c r="AF242" s="24" t="s">
        <v>5</v>
      </c>
      <c r="AG242" s="24">
        <f t="shared" ref="AG242" si="979">IF(AND(ISBLANK(AG240),ISBLANK(AG241)),"A",IFERROR(+MOD(AG241-AG240,1),AG239))</f>
        <v>0.62847222222222221</v>
      </c>
      <c r="AH242" s="24">
        <f t="shared" ref="AH242" si="980">IF(AND(ISBLANK(AH240),ISBLANK(AH241)),"A",IFERROR(+MOD(AH241-AH240,1),AH239))</f>
        <v>0.625</v>
      </c>
      <c r="AI242" s="24" t="s">
        <v>5</v>
      </c>
      <c r="AJ242" s="24">
        <f t="shared" ref="AJ242" si="981">IF(AND(ISBLANK(AJ240),ISBLANK(AJ241)),"A",IFERROR(+MOD(AJ241-AJ240,1),AJ239))</f>
        <v>0.59375</v>
      </c>
      <c r="AK242" s="24">
        <f t="shared" ref="AK242" si="982">IF(AND(ISBLANK(AK240),ISBLANK(AK241)),"A",IFERROR(+MOD(AK241-AK240,1),AK239))</f>
        <v>0.68055555555555558</v>
      </c>
      <c r="AL242" s="24">
        <f t="shared" ref="AL242" si="983">IF(AND(ISBLANK(AL240),ISBLANK(AL241)),"A",IFERROR(+MOD(AL241-AL240,1),AL239))</f>
        <v>0.58333333333333337</v>
      </c>
      <c r="AM242" s="24">
        <f t="shared" ref="AM242" si="984">IF(AND(ISBLANK(AM240),ISBLANK(AM241)),"A",IFERROR(+MOD(AM241-AM240,1),AM239))</f>
        <v>0.5277777777777779</v>
      </c>
      <c r="AN242" s="17">
        <f>COUNT(F242:AM242)</f>
        <v>27</v>
      </c>
      <c r="AO242" s="21"/>
    </row>
    <row r="243" spans="1:41">
      <c r="A243" s="8" t="s">
        <v>203</v>
      </c>
      <c r="B243" s="12" t="s">
        <v>234</v>
      </c>
      <c r="C243" s="8" t="s">
        <v>204</v>
      </c>
      <c r="D243" s="8" t="s">
        <v>42</v>
      </c>
      <c r="E243" s="8" t="s">
        <v>73</v>
      </c>
      <c r="F243" s="11">
        <v>45919</v>
      </c>
      <c r="G243" s="8" t="s">
        <v>32</v>
      </c>
      <c r="H243" s="12" t="s">
        <v>18</v>
      </c>
      <c r="I243" s="14" t="s">
        <v>4</v>
      </c>
      <c r="J243" s="2" t="s">
        <v>6</v>
      </c>
      <c r="K243" s="2" t="s">
        <v>5</v>
      </c>
      <c r="L243" s="2" t="s">
        <v>6</v>
      </c>
      <c r="M243" s="2" t="s">
        <v>6</v>
      </c>
      <c r="N243" s="2" t="s">
        <v>6</v>
      </c>
      <c r="O243" s="2" t="s">
        <v>6</v>
      </c>
      <c r="P243" s="2" t="s">
        <v>6</v>
      </c>
      <c r="Q243" s="2" t="s">
        <v>6</v>
      </c>
      <c r="R243" s="2" t="s">
        <v>5</v>
      </c>
      <c r="S243" s="2" t="s">
        <v>6</v>
      </c>
      <c r="T243" s="2" t="s">
        <v>6</v>
      </c>
      <c r="U243" s="2" t="s">
        <v>6</v>
      </c>
      <c r="V243" s="2" t="s">
        <v>6</v>
      </c>
      <c r="W243" s="2" t="s">
        <v>6</v>
      </c>
      <c r="X243" s="2" t="s">
        <v>6</v>
      </c>
      <c r="Y243" s="2" t="s">
        <v>5</v>
      </c>
      <c r="Z243" s="2" t="s">
        <v>6</v>
      </c>
      <c r="AA243" s="2" t="s">
        <v>6</v>
      </c>
      <c r="AB243" s="2" t="s">
        <v>6</v>
      </c>
      <c r="AC243" s="2" t="s">
        <v>6</v>
      </c>
      <c r="AD243" s="2" t="s">
        <v>6</v>
      </c>
      <c r="AE243" s="2" t="s">
        <v>6</v>
      </c>
      <c r="AF243" s="2" t="s">
        <v>5</v>
      </c>
      <c r="AG243" s="2" t="s">
        <v>6</v>
      </c>
      <c r="AH243" s="2" t="s">
        <v>6</v>
      </c>
      <c r="AI243" s="2" t="s">
        <v>6</v>
      </c>
      <c r="AJ243" s="2" t="s">
        <v>6</v>
      </c>
      <c r="AK243" s="2" t="s">
        <v>6</v>
      </c>
      <c r="AL243" s="2" t="s">
        <v>6</v>
      </c>
      <c r="AM243" s="2" t="s">
        <v>5</v>
      </c>
      <c r="AN243" s="20"/>
      <c r="AO243" s="12" t="s">
        <v>18</v>
      </c>
    </row>
    <row r="244" spans="1:41">
      <c r="A244" s="1" t="s">
        <v>203</v>
      </c>
      <c r="B244" s="12" t="s">
        <v>234</v>
      </c>
      <c r="C244" s="3" t="s">
        <v>204</v>
      </c>
      <c r="D244" s="3" t="s">
        <v>42</v>
      </c>
      <c r="E244" s="3" t="s">
        <v>73</v>
      </c>
      <c r="F244" s="6">
        <v>45919</v>
      </c>
      <c r="G244" s="5" t="s">
        <v>32</v>
      </c>
      <c r="H244" s="12" t="s">
        <v>18</v>
      </c>
      <c r="I244" s="7" t="s">
        <v>7</v>
      </c>
      <c r="J244" s="2">
        <v>0.375</v>
      </c>
      <c r="K244" s="2" t="s">
        <v>5</v>
      </c>
      <c r="L244" s="2">
        <v>0.375</v>
      </c>
      <c r="M244" s="2">
        <v>0.375</v>
      </c>
      <c r="N244" s="2">
        <v>0.375</v>
      </c>
      <c r="O244" s="2">
        <v>0.375</v>
      </c>
      <c r="P244" s="2">
        <v>0.375</v>
      </c>
      <c r="Q244" s="2">
        <v>0.375</v>
      </c>
      <c r="R244" s="2" t="s">
        <v>5</v>
      </c>
      <c r="S244" s="2">
        <v>0.375</v>
      </c>
      <c r="T244" s="2">
        <v>0.375</v>
      </c>
      <c r="U244" s="2">
        <v>0.375</v>
      </c>
      <c r="V244" s="2">
        <v>0.375</v>
      </c>
      <c r="W244" s="2">
        <v>0.375</v>
      </c>
      <c r="X244" s="2">
        <v>0.375</v>
      </c>
      <c r="Y244" s="2" t="s">
        <v>5</v>
      </c>
      <c r="Z244" s="2">
        <v>0.375</v>
      </c>
      <c r="AA244" s="2">
        <v>0.375</v>
      </c>
      <c r="AB244" s="2">
        <v>0.375</v>
      </c>
      <c r="AC244" s="2">
        <v>0.375</v>
      </c>
      <c r="AD244" s="2">
        <v>0.375</v>
      </c>
      <c r="AE244" s="2">
        <v>0.375</v>
      </c>
      <c r="AF244" s="2" t="s">
        <v>5</v>
      </c>
      <c r="AG244" s="2">
        <v>0.375</v>
      </c>
      <c r="AH244" s="2">
        <v>0.375</v>
      </c>
      <c r="AI244" s="2">
        <v>0.375</v>
      </c>
      <c r="AJ244" s="2">
        <v>0.375</v>
      </c>
      <c r="AK244" s="2">
        <v>0.375</v>
      </c>
      <c r="AL244" s="2">
        <v>0.375</v>
      </c>
      <c r="AM244" s="2" t="s">
        <v>5</v>
      </c>
      <c r="AN244" s="20"/>
      <c r="AO244" s="12"/>
    </row>
    <row r="245" spans="1:41">
      <c r="A245" s="1" t="s">
        <v>203</v>
      </c>
      <c r="B245" s="12" t="s">
        <v>234</v>
      </c>
      <c r="C245" s="1" t="s">
        <v>204</v>
      </c>
      <c r="D245" s="1" t="s">
        <v>42</v>
      </c>
      <c r="E245" s="1" t="s">
        <v>73</v>
      </c>
      <c r="F245" s="6">
        <v>45919</v>
      </c>
      <c r="G245" s="1" t="s">
        <v>32</v>
      </c>
      <c r="H245" s="12" t="s">
        <v>18</v>
      </c>
      <c r="I245" s="7" t="s">
        <v>8</v>
      </c>
      <c r="J245" s="2">
        <v>0.75</v>
      </c>
      <c r="K245" s="2" t="s">
        <v>5</v>
      </c>
      <c r="L245" s="2">
        <v>0.75</v>
      </c>
      <c r="M245" s="2">
        <v>0.75</v>
      </c>
      <c r="N245" s="2">
        <v>0.75</v>
      </c>
      <c r="O245" s="2">
        <v>0.75</v>
      </c>
      <c r="P245" s="2">
        <v>0.75</v>
      </c>
      <c r="Q245" s="2">
        <v>0.75</v>
      </c>
      <c r="R245" s="2" t="s">
        <v>5</v>
      </c>
      <c r="S245" s="2">
        <v>0.75</v>
      </c>
      <c r="T245" s="2">
        <v>0.75</v>
      </c>
      <c r="U245" s="2">
        <v>0.83680555555555547</v>
      </c>
      <c r="V245" s="2">
        <v>0.75</v>
      </c>
      <c r="W245" s="2">
        <v>0.75</v>
      </c>
      <c r="X245" s="2">
        <v>0.75</v>
      </c>
      <c r="Y245" s="2" t="s">
        <v>5</v>
      </c>
      <c r="Z245" s="2">
        <v>0.75</v>
      </c>
      <c r="AA245" s="2">
        <v>0.75</v>
      </c>
      <c r="AB245" s="2">
        <v>0.875</v>
      </c>
      <c r="AC245" s="2">
        <v>0.84027777777777779</v>
      </c>
      <c r="AD245" s="2">
        <v>0.79166666666666663</v>
      </c>
      <c r="AE245" s="2">
        <v>0.75</v>
      </c>
      <c r="AF245" s="2" t="s">
        <v>5</v>
      </c>
      <c r="AG245" s="2">
        <v>0.75</v>
      </c>
      <c r="AH245" s="2">
        <v>0.75</v>
      </c>
      <c r="AI245" s="2">
        <v>0.75</v>
      </c>
      <c r="AJ245" s="2">
        <v>0.75</v>
      </c>
      <c r="AK245" s="2">
        <v>0.75</v>
      </c>
      <c r="AL245" s="2">
        <v>0.75</v>
      </c>
      <c r="AM245" s="2" t="s">
        <v>5</v>
      </c>
      <c r="AN245" s="20"/>
      <c r="AO245" s="12"/>
    </row>
    <row r="246" spans="1:41">
      <c r="A246" s="21" t="s">
        <v>203</v>
      </c>
      <c r="B246" s="21" t="s">
        <v>234</v>
      </c>
      <c r="C246" s="21" t="s">
        <v>204</v>
      </c>
      <c r="D246" s="21" t="s">
        <v>42</v>
      </c>
      <c r="E246" s="21" t="s">
        <v>73</v>
      </c>
      <c r="F246" s="22">
        <v>45919</v>
      </c>
      <c r="G246" s="21" t="s">
        <v>32</v>
      </c>
      <c r="H246" s="21" t="s">
        <v>18</v>
      </c>
      <c r="I246" s="25" t="s">
        <v>9</v>
      </c>
      <c r="J246" s="24">
        <f>J245-J244</f>
        <v>0.375</v>
      </c>
      <c r="K246" s="24" t="s">
        <v>5</v>
      </c>
      <c r="L246" s="24">
        <f t="shared" ref="L246" si="985">L245-L244</f>
        <v>0.375</v>
      </c>
      <c r="M246" s="24">
        <f t="shared" ref="M246" si="986">IF(AND(ISBLANK(M244),ISBLANK(M245)),"A",IFERROR(+MOD(M245-M244,1),M243))</f>
        <v>0.375</v>
      </c>
      <c r="N246" s="24">
        <f t="shared" ref="N246" si="987">IF(AND(ISBLANK(N244),ISBLANK(N245)),"A",IFERROR(+MOD(N245-N244,1),N243))</f>
        <v>0.375</v>
      </c>
      <c r="O246" s="24">
        <f t="shared" ref="O246" si="988">IF(AND(ISBLANK(O244),ISBLANK(O245)),"A",IFERROR(+MOD(O245-O244,1),O243))</f>
        <v>0.375</v>
      </c>
      <c r="P246" s="24">
        <f t="shared" ref="P246" si="989">IF(AND(ISBLANK(P244),ISBLANK(P245)),"A",IFERROR(+MOD(P245-P244,1),P243))</f>
        <v>0.375</v>
      </c>
      <c r="Q246" s="24">
        <f t="shared" ref="Q246" si="990">IF(AND(ISBLANK(Q244),ISBLANK(Q245)),"A",IFERROR(+MOD(Q245-Q244,1),Q243))</f>
        <v>0.375</v>
      </c>
      <c r="R246" s="24" t="s">
        <v>5</v>
      </c>
      <c r="S246" s="24">
        <f t="shared" ref="S246" si="991">IF(AND(ISBLANK(S244),ISBLANK(S245)),"A",IFERROR(+MOD(S245-S244,1),S243))</f>
        <v>0.375</v>
      </c>
      <c r="T246" s="24">
        <f t="shared" ref="T246" si="992">IF(AND(ISBLANK(T244),ISBLANK(T245)),"A",IFERROR(+MOD(T245-T244,1),T243))</f>
        <v>0.375</v>
      </c>
      <c r="U246" s="24">
        <f t="shared" ref="U246" si="993">IF(AND(ISBLANK(U244),ISBLANK(U245)),"A",IFERROR(+MOD(U245-U244,1),U243))</f>
        <v>0.46180555555555547</v>
      </c>
      <c r="V246" s="24">
        <f t="shared" ref="V246" si="994">IF(AND(ISBLANK(V244),ISBLANK(V245)),"A",IFERROR(+MOD(V245-V244,1),V243))</f>
        <v>0.375</v>
      </c>
      <c r="W246" s="24">
        <f t="shared" ref="W246" si="995">IF(AND(ISBLANK(W244),ISBLANK(W245)),"A",IFERROR(+MOD(W245-W244,1),W243))</f>
        <v>0.375</v>
      </c>
      <c r="X246" s="24">
        <f t="shared" ref="X246" si="996">IF(AND(ISBLANK(X244),ISBLANK(X245)),"A",IFERROR(+MOD(X245-X244,1),X243))</f>
        <v>0.375</v>
      </c>
      <c r="Y246" s="24" t="s">
        <v>5</v>
      </c>
      <c r="Z246" s="24">
        <f t="shared" ref="Z246" si="997">IF(AND(ISBLANK(Z244),ISBLANK(Z245)),"A",IFERROR(+MOD(Z245-Z244,1),Z243))</f>
        <v>0.375</v>
      </c>
      <c r="AA246" s="24">
        <f t="shared" ref="AA246" si="998">IF(AND(ISBLANK(AA244),ISBLANK(AA245)),"A",IFERROR(+MOD(AA245-AA244,1),AA243))</f>
        <v>0.375</v>
      </c>
      <c r="AB246" s="24">
        <f t="shared" ref="AB246" si="999">IF(AND(ISBLANK(AB244),ISBLANK(AB245)),"A",IFERROR(+MOD(AB245-AB244,1),AB243))</f>
        <v>0.5</v>
      </c>
      <c r="AC246" s="24">
        <f t="shared" ref="AC246" si="1000">IF(AND(ISBLANK(AC244),ISBLANK(AC245)),"A",IFERROR(+MOD(AC245-AC244,1),AC243))</f>
        <v>0.46527777777777779</v>
      </c>
      <c r="AD246" s="24">
        <f t="shared" ref="AD246" si="1001">IF(AND(ISBLANK(AD244),ISBLANK(AD245)),"A",IFERROR(+MOD(AD245-AD244,1),AD243))</f>
        <v>0.41666666666666663</v>
      </c>
      <c r="AE246" s="24">
        <f t="shared" ref="AE246" si="1002">IF(AND(ISBLANK(AE244),ISBLANK(AE245)),"A",IFERROR(+MOD(AE245-AE244,1),AE243))</f>
        <v>0.375</v>
      </c>
      <c r="AF246" s="24" t="s">
        <v>5</v>
      </c>
      <c r="AG246" s="24">
        <f t="shared" ref="AG246" si="1003">IF(AND(ISBLANK(AG244),ISBLANK(AG245)),"A",IFERROR(+MOD(AG245-AG244,1),AG243))</f>
        <v>0.375</v>
      </c>
      <c r="AH246" s="24">
        <f t="shared" ref="AH246" si="1004">IF(AND(ISBLANK(AH244),ISBLANK(AH245)),"A",IFERROR(+MOD(AH245-AH244,1),AH243))</f>
        <v>0.375</v>
      </c>
      <c r="AI246" s="24">
        <f t="shared" ref="AI246" si="1005">IF(AND(ISBLANK(AI244),ISBLANK(AI245)),"A",IFERROR(+MOD(AI245-AI244,1),AI243))</f>
        <v>0.375</v>
      </c>
      <c r="AJ246" s="24">
        <f t="shared" ref="AJ246" si="1006">IF(AND(ISBLANK(AJ244),ISBLANK(AJ245)),"A",IFERROR(+MOD(AJ245-AJ244,1),AJ243))</f>
        <v>0.375</v>
      </c>
      <c r="AK246" s="24">
        <f t="shared" ref="AK246" si="1007">IF(AND(ISBLANK(AK244),ISBLANK(AK245)),"A",IFERROR(+MOD(AK245-AK244,1),AK243))</f>
        <v>0.375</v>
      </c>
      <c r="AL246" s="24">
        <f t="shared" ref="AL246" si="1008">IF(AND(ISBLANK(AL244),ISBLANK(AL245)),"A",IFERROR(+MOD(AL245-AL244,1),AL243))</f>
        <v>0.375</v>
      </c>
      <c r="AM246" s="24" t="s">
        <v>5</v>
      </c>
      <c r="AN246" s="17">
        <f>COUNT(F246:AM246)</f>
        <v>26</v>
      </c>
      <c r="AO246" s="21"/>
    </row>
    <row r="247" spans="1:41">
      <c r="A247" s="8" t="s">
        <v>205</v>
      </c>
      <c r="B247" s="12" t="e">
        <v>#N/A</v>
      </c>
      <c r="C247" s="8" t="s">
        <v>16</v>
      </c>
      <c r="D247" s="8" t="s">
        <v>42</v>
      </c>
      <c r="E247" s="8" t="s">
        <v>206</v>
      </c>
      <c r="F247" s="11">
        <v>45901</v>
      </c>
      <c r="G247" s="8" t="s">
        <v>32</v>
      </c>
      <c r="H247" s="12" t="s">
        <v>18</v>
      </c>
      <c r="I247" s="14" t="s">
        <v>4</v>
      </c>
      <c r="J247" s="2" t="s">
        <v>5</v>
      </c>
      <c r="K247" s="2" t="s">
        <v>5</v>
      </c>
      <c r="L247" s="2" t="s">
        <v>5</v>
      </c>
      <c r="M247" s="2" t="s">
        <v>5</v>
      </c>
      <c r="N247" s="2" t="s">
        <v>5</v>
      </c>
      <c r="O247" s="2" t="s">
        <v>5</v>
      </c>
      <c r="P247" s="2" t="s">
        <v>5</v>
      </c>
      <c r="Q247" s="2" t="s">
        <v>5</v>
      </c>
      <c r="R247" s="2" t="s">
        <v>5</v>
      </c>
      <c r="S247" s="2" t="s">
        <v>6</v>
      </c>
      <c r="T247" s="2" t="s">
        <v>5</v>
      </c>
      <c r="U247" s="2" t="s">
        <v>5</v>
      </c>
      <c r="V247" s="2" t="s">
        <v>5</v>
      </c>
      <c r="W247" s="2" t="s">
        <v>5</v>
      </c>
      <c r="X247" s="2" t="s">
        <v>5</v>
      </c>
      <c r="Y247" s="2" t="s">
        <v>5</v>
      </c>
      <c r="Z247" s="2" t="s">
        <v>5</v>
      </c>
      <c r="AA247" s="2" t="s">
        <v>5</v>
      </c>
      <c r="AB247" s="2" t="s">
        <v>5</v>
      </c>
      <c r="AC247" s="2" t="s">
        <v>5</v>
      </c>
      <c r="AD247" s="2" t="s">
        <v>5</v>
      </c>
      <c r="AE247" s="2" t="s">
        <v>5</v>
      </c>
      <c r="AF247" s="2" t="s">
        <v>5</v>
      </c>
      <c r="AG247" s="2" t="s">
        <v>5</v>
      </c>
      <c r="AH247" s="2" t="s">
        <v>5</v>
      </c>
      <c r="AI247" s="2" t="s">
        <v>5</v>
      </c>
      <c r="AJ247" s="2" t="s">
        <v>5</v>
      </c>
      <c r="AK247" s="2" t="s">
        <v>5</v>
      </c>
      <c r="AL247" s="2" t="s">
        <v>5</v>
      </c>
      <c r="AM247" s="2" t="s">
        <v>5</v>
      </c>
      <c r="AN247" s="20"/>
      <c r="AO247" s="12" t="s">
        <v>17</v>
      </c>
    </row>
    <row r="248" spans="1:41">
      <c r="A248" s="1" t="s">
        <v>205</v>
      </c>
      <c r="B248" s="5"/>
      <c r="C248" s="3" t="s">
        <v>16</v>
      </c>
      <c r="D248" s="3" t="s">
        <v>42</v>
      </c>
      <c r="E248" s="3" t="s">
        <v>206</v>
      </c>
      <c r="F248" s="6">
        <v>45901</v>
      </c>
      <c r="G248" s="5" t="s">
        <v>32</v>
      </c>
      <c r="H248" s="12" t="s">
        <v>18</v>
      </c>
      <c r="I248" s="7" t="s">
        <v>7</v>
      </c>
      <c r="J248" s="2" t="s">
        <v>5</v>
      </c>
      <c r="K248" s="2" t="s">
        <v>5</v>
      </c>
      <c r="L248" s="2" t="s">
        <v>5</v>
      </c>
      <c r="M248" s="2" t="s">
        <v>5</v>
      </c>
      <c r="N248" s="2" t="s">
        <v>5</v>
      </c>
      <c r="O248" s="2" t="s">
        <v>5</v>
      </c>
      <c r="P248" s="2" t="s">
        <v>5</v>
      </c>
      <c r="Q248" s="2" t="s">
        <v>5</v>
      </c>
      <c r="R248" s="2" t="s">
        <v>5</v>
      </c>
      <c r="S248" s="2">
        <v>0.375</v>
      </c>
      <c r="T248" s="2" t="s">
        <v>5</v>
      </c>
      <c r="U248" s="2" t="s">
        <v>5</v>
      </c>
      <c r="V248" s="2" t="s">
        <v>5</v>
      </c>
      <c r="W248" s="2" t="s">
        <v>5</v>
      </c>
      <c r="X248" s="2" t="s">
        <v>5</v>
      </c>
      <c r="Y248" s="2" t="s">
        <v>5</v>
      </c>
      <c r="Z248" s="2" t="s">
        <v>5</v>
      </c>
      <c r="AA248" s="2" t="s">
        <v>5</v>
      </c>
      <c r="AB248" s="2" t="s">
        <v>5</v>
      </c>
      <c r="AC248" s="2" t="s">
        <v>5</v>
      </c>
      <c r="AD248" s="2" t="s">
        <v>5</v>
      </c>
      <c r="AE248" s="2" t="s">
        <v>5</v>
      </c>
      <c r="AF248" s="2" t="s">
        <v>5</v>
      </c>
      <c r="AG248" s="2" t="s">
        <v>5</v>
      </c>
      <c r="AH248" s="2" t="s">
        <v>5</v>
      </c>
      <c r="AI248" s="2" t="s">
        <v>5</v>
      </c>
      <c r="AJ248" s="2" t="s">
        <v>5</v>
      </c>
      <c r="AK248" s="2" t="s">
        <v>5</v>
      </c>
      <c r="AL248" s="2" t="s">
        <v>5</v>
      </c>
      <c r="AM248" s="2" t="s">
        <v>5</v>
      </c>
      <c r="AN248" s="20"/>
      <c r="AO248" s="12"/>
    </row>
    <row r="249" spans="1:41">
      <c r="A249" s="1" t="s">
        <v>205</v>
      </c>
      <c r="B249" s="1"/>
      <c r="C249" s="1" t="s">
        <v>16</v>
      </c>
      <c r="D249" s="1" t="s">
        <v>42</v>
      </c>
      <c r="E249" s="1" t="s">
        <v>206</v>
      </c>
      <c r="F249" s="6">
        <v>45901</v>
      </c>
      <c r="G249" s="1" t="s">
        <v>32</v>
      </c>
      <c r="H249" s="12" t="s">
        <v>18</v>
      </c>
      <c r="I249" s="7" t="s">
        <v>8</v>
      </c>
      <c r="J249" s="2" t="s">
        <v>5</v>
      </c>
      <c r="K249" s="2" t="s">
        <v>5</v>
      </c>
      <c r="L249" s="2" t="s">
        <v>5</v>
      </c>
      <c r="M249" s="2" t="s">
        <v>5</v>
      </c>
      <c r="N249" s="2" t="s">
        <v>5</v>
      </c>
      <c r="O249" s="2" t="s">
        <v>5</v>
      </c>
      <c r="P249" s="2" t="s">
        <v>5</v>
      </c>
      <c r="Q249" s="2" t="s">
        <v>5</v>
      </c>
      <c r="R249" s="2" t="s">
        <v>5</v>
      </c>
      <c r="S249" s="2">
        <v>0.75</v>
      </c>
      <c r="T249" s="2" t="s">
        <v>5</v>
      </c>
      <c r="U249" s="2" t="s">
        <v>5</v>
      </c>
      <c r="V249" s="2" t="s">
        <v>5</v>
      </c>
      <c r="W249" s="2" t="s">
        <v>5</v>
      </c>
      <c r="X249" s="2" t="s">
        <v>5</v>
      </c>
      <c r="Y249" s="2" t="s">
        <v>5</v>
      </c>
      <c r="Z249" s="2" t="s">
        <v>5</v>
      </c>
      <c r="AA249" s="2" t="s">
        <v>5</v>
      </c>
      <c r="AB249" s="2" t="s">
        <v>5</v>
      </c>
      <c r="AC249" s="2" t="s">
        <v>5</v>
      </c>
      <c r="AD249" s="2" t="s">
        <v>5</v>
      </c>
      <c r="AE249" s="2" t="s">
        <v>5</v>
      </c>
      <c r="AF249" s="2" t="s">
        <v>5</v>
      </c>
      <c r="AG249" s="2" t="s">
        <v>5</v>
      </c>
      <c r="AH249" s="2" t="s">
        <v>5</v>
      </c>
      <c r="AI249" s="2" t="s">
        <v>5</v>
      </c>
      <c r="AJ249" s="2" t="s">
        <v>5</v>
      </c>
      <c r="AK249" s="2" t="s">
        <v>5</v>
      </c>
      <c r="AL249" s="2" t="s">
        <v>5</v>
      </c>
      <c r="AM249" s="2" t="s">
        <v>5</v>
      </c>
      <c r="AN249" s="20"/>
      <c r="AO249" s="12"/>
    </row>
    <row r="250" spans="1:41">
      <c r="A250" s="21" t="s">
        <v>205</v>
      </c>
      <c r="B250" s="21"/>
      <c r="C250" s="21" t="s">
        <v>16</v>
      </c>
      <c r="D250" s="21" t="s">
        <v>42</v>
      </c>
      <c r="E250" s="21" t="s">
        <v>206</v>
      </c>
      <c r="F250" s="22">
        <v>45901</v>
      </c>
      <c r="G250" s="21" t="s">
        <v>32</v>
      </c>
      <c r="H250" s="21" t="s">
        <v>18</v>
      </c>
      <c r="I250" s="25" t="s">
        <v>9</v>
      </c>
      <c r="J250" s="24" t="s">
        <v>5</v>
      </c>
      <c r="K250" s="24" t="s">
        <v>5</v>
      </c>
      <c r="L250" s="24" t="s">
        <v>5</v>
      </c>
      <c r="M250" s="24" t="s">
        <v>5</v>
      </c>
      <c r="N250" s="24" t="s">
        <v>5</v>
      </c>
      <c r="O250" s="24" t="s">
        <v>5</v>
      </c>
      <c r="P250" s="24" t="s">
        <v>5</v>
      </c>
      <c r="Q250" s="24" t="s">
        <v>5</v>
      </c>
      <c r="R250" s="24" t="s">
        <v>5</v>
      </c>
      <c r="S250" s="24">
        <f t="shared" ref="S250" si="1009">IF(AND(ISBLANK(S248),ISBLANK(S249)),"A",IFERROR(+MOD(S249-S248,1),S247))</f>
        <v>0.375</v>
      </c>
      <c r="T250" s="24" t="s">
        <v>5</v>
      </c>
      <c r="U250" s="24" t="s">
        <v>5</v>
      </c>
      <c r="V250" s="24" t="s">
        <v>5</v>
      </c>
      <c r="W250" s="24" t="s">
        <v>5</v>
      </c>
      <c r="X250" s="24" t="s">
        <v>5</v>
      </c>
      <c r="Y250" s="24" t="s">
        <v>5</v>
      </c>
      <c r="Z250" s="24" t="s">
        <v>5</v>
      </c>
      <c r="AA250" s="24" t="s">
        <v>5</v>
      </c>
      <c r="AB250" s="24" t="s">
        <v>5</v>
      </c>
      <c r="AC250" s="24" t="s">
        <v>5</v>
      </c>
      <c r="AD250" s="24" t="s">
        <v>5</v>
      </c>
      <c r="AE250" s="24" t="s">
        <v>5</v>
      </c>
      <c r="AF250" s="24" t="s">
        <v>5</v>
      </c>
      <c r="AG250" s="24" t="s">
        <v>5</v>
      </c>
      <c r="AH250" s="24" t="s">
        <v>5</v>
      </c>
      <c r="AI250" s="24" t="s">
        <v>5</v>
      </c>
      <c r="AJ250" s="24" t="s">
        <v>5</v>
      </c>
      <c r="AK250" s="24" t="s">
        <v>5</v>
      </c>
      <c r="AL250" s="24" t="s">
        <v>5</v>
      </c>
      <c r="AM250" s="24" t="s">
        <v>5</v>
      </c>
      <c r="AN250" s="17">
        <f>COUNT(F250:AM250)</f>
        <v>2</v>
      </c>
      <c r="AO250" s="21"/>
    </row>
    <row r="251" spans="1:41">
      <c r="A251" s="55" t="s">
        <v>276</v>
      </c>
      <c r="B251" s="56"/>
      <c r="C251" s="8" t="s">
        <v>210</v>
      </c>
      <c r="D251" s="8" t="s">
        <v>41</v>
      </c>
      <c r="E251" s="8" t="s">
        <v>211</v>
      </c>
      <c r="F251" s="11">
        <v>45880</v>
      </c>
      <c r="G251" s="8" t="s">
        <v>32</v>
      </c>
      <c r="H251" s="12" t="s">
        <v>18</v>
      </c>
      <c r="I251" s="14" t="s">
        <v>4</v>
      </c>
      <c r="J251" s="2" t="s">
        <v>5</v>
      </c>
      <c r="K251" s="2" t="s">
        <v>5</v>
      </c>
      <c r="L251" s="2" t="s">
        <v>6</v>
      </c>
      <c r="M251" s="2" t="s">
        <v>5</v>
      </c>
      <c r="N251" s="2" t="s">
        <v>6</v>
      </c>
      <c r="O251" s="2" t="s">
        <v>5</v>
      </c>
      <c r="P251" s="2" t="s">
        <v>5</v>
      </c>
      <c r="Q251" s="2" t="s">
        <v>5</v>
      </c>
      <c r="R251" s="2" t="s">
        <v>5</v>
      </c>
      <c r="S251" s="2" t="s">
        <v>5</v>
      </c>
      <c r="T251" s="2" t="s">
        <v>5</v>
      </c>
      <c r="U251" s="2" t="s">
        <v>5</v>
      </c>
      <c r="V251" s="2" t="s">
        <v>5</v>
      </c>
      <c r="W251" s="2" t="s">
        <v>5</v>
      </c>
      <c r="X251" s="2" t="s">
        <v>5</v>
      </c>
      <c r="Y251" s="2" t="s">
        <v>5</v>
      </c>
      <c r="Z251" s="2" t="s">
        <v>5</v>
      </c>
      <c r="AA251" s="2" t="s">
        <v>5</v>
      </c>
      <c r="AB251" s="2" t="s">
        <v>5</v>
      </c>
      <c r="AC251" s="2" t="s">
        <v>5</v>
      </c>
      <c r="AD251" s="2" t="s">
        <v>5</v>
      </c>
      <c r="AE251" s="2" t="s">
        <v>5</v>
      </c>
      <c r="AF251" s="2" t="s">
        <v>5</v>
      </c>
      <c r="AG251" s="2" t="s">
        <v>5</v>
      </c>
      <c r="AH251" s="2" t="s">
        <v>5</v>
      </c>
      <c r="AI251" s="2" t="s">
        <v>5</v>
      </c>
      <c r="AJ251" s="2" t="s">
        <v>5</v>
      </c>
      <c r="AK251" s="2" t="s">
        <v>5</v>
      </c>
      <c r="AL251" s="2" t="s">
        <v>5</v>
      </c>
      <c r="AM251" s="2" t="s">
        <v>5</v>
      </c>
      <c r="AN251" s="20"/>
      <c r="AO251" s="12" t="s">
        <v>17</v>
      </c>
    </row>
    <row r="252" spans="1:41">
      <c r="A252" s="55" t="s">
        <v>276</v>
      </c>
      <c r="B252" s="8"/>
      <c r="C252" s="8" t="s">
        <v>210</v>
      </c>
      <c r="D252" s="8" t="s">
        <v>41</v>
      </c>
      <c r="E252" s="8" t="s">
        <v>211</v>
      </c>
      <c r="F252" s="11">
        <v>45880</v>
      </c>
      <c r="G252" s="8" t="s">
        <v>32</v>
      </c>
      <c r="H252" s="12" t="s">
        <v>18</v>
      </c>
      <c r="I252" s="7" t="s">
        <v>7</v>
      </c>
      <c r="J252" s="2" t="s">
        <v>5</v>
      </c>
      <c r="K252" s="2" t="s">
        <v>5</v>
      </c>
      <c r="L252" s="2">
        <v>0.375</v>
      </c>
      <c r="M252" s="2" t="s">
        <v>5</v>
      </c>
      <c r="N252" s="2">
        <v>0.375</v>
      </c>
      <c r="O252" s="2" t="s">
        <v>5</v>
      </c>
      <c r="P252" s="2" t="s">
        <v>5</v>
      </c>
      <c r="Q252" s="2" t="s">
        <v>5</v>
      </c>
      <c r="R252" s="2" t="s">
        <v>5</v>
      </c>
      <c r="S252" s="2" t="s">
        <v>5</v>
      </c>
      <c r="T252" s="2" t="s">
        <v>5</v>
      </c>
      <c r="U252" s="2" t="s">
        <v>5</v>
      </c>
      <c r="V252" s="2" t="s">
        <v>5</v>
      </c>
      <c r="W252" s="2" t="s">
        <v>5</v>
      </c>
      <c r="X252" s="2" t="s">
        <v>5</v>
      </c>
      <c r="Y252" s="2" t="s">
        <v>5</v>
      </c>
      <c r="Z252" s="2" t="s">
        <v>5</v>
      </c>
      <c r="AA252" s="2" t="s">
        <v>5</v>
      </c>
      <c r="AB252" s="2" t="s">
        <v>5</v>
      </c>
      <c r="AC252" s="2" t="s">
        <v>5</v>
      </c>
      <c r="AD252" s="2" t="s">
        <v>5</v>
      </c>
      <c r="AE252" s="2" t="s">
        <v>5</v>
      </c>
      <c r="AF252" s="2" t="s">
        <v>5</v>
      </c>
      <c r="AG252" s="2" t="s">
        <v>5</v>
      </c>
      <c r="AH252" s="2" t="s">
        <v>5</v>
      </c>
      <c r="AI252" s="2" t="s">
        <v>5</v>
      </c>
      <c r="AJ252" s="2" t="s">
        <v>5</v>
      </c>
      <c r="AK252" s="2" t="s">
        <v>5</v>
      </c>
      <c r="AL252" s="2" t="s">
        <v>5</v>
      </c>
      <c r="AM252" s="2" t="s">
        <v>5</v>
      </c>
      <c r="AN252" s="20"/>
      <c r="AO252" s="12"/>
    </row>
    <row r="253" spans="1:41">
      <c r="A253" s="55" t="s">
        <v>276</v>
      </c>
      <c r="B253" s="8"/>
      <c r="C253" s="8" t="s">
        <v>210</v>
      </c>
      <c r="D253" s="8" t="s">
        <v>41</v>
      </c>
      <c r="E253" s="8" t="s">
        <v>211</v>
      </c>
      <c r="F253" s="11">
        <v>45880</v>
      </c>
      <c r="G253" s="8" t="s">
        <v>32</v>
      </c>
      <c r="H253" s="12" t="s">
        <v>18</v>
      </c>
      <c r="I253" s="7" t="s">
        <v>8</v>
      </c>
      <c r="J253" s="2" t="s">
        <v>5</v>
      </c>
      <c r="K253" s="2" t="s">
        <v>5</v>
      </c>
      <c r="L253" s="2">
        <v>0.75347222222222221</v>
      </c>
      <c r="M253" s="2" t="s">
        <v>5</v>
      </c>
      <c r="N253" s="2">
        <v>0.75</v>
      </c>
      <c r="O253" s="2" t="s">
        <v>5</v>
      </c>
      <c r="P253" s="2" t="s">
        <v>5</v>
      </c>
      <c r="Q253" s="2" t="s">
        <v>5</v>
      </c>
      <c r="R253" s="2" t="s">
        <v>5</v>
      </c>
      <c r="S253" s="2" t="s">
        <v>5</v>
      </c>
      <c r="T253" s="2" t="s">
        <v>5</v>
      </c>
      <c r="U253" s="2" t="s">
        <v>5</v>
      </c>
      <c r="V253" s="2" t="s">
        <v>5</v>
      </c>
      <c r="W253" s="2" t="s">
        <v>5</v>
      </c>
      <c r="X253" s="2" t="s">
        <v>5</v>
      </c>
      <c r="Y253" s="2" t="s">
        <v>5</v>
      </c>
      <c r="Z253" s="2" t="s">
        <v>5</v>
      </c>
      <c r="AA253" s="2" t="s">
        <v>5</v>
      </c>
      <c r="AB253" s="2" t="s">
        <v>5</v>
      </c>
      <c r="AC253" s="2" t="s">
        <v>5</v>
      </c>
      <c r="AD253" s="2" t="s">
        <v>5</v>
      </c>
      <c r="AE253" s="2" t="s">
        <v>5</v>
      </c>
      <c r="AF253" s="2" t="s">
        <v>5</v>
      </c>
      <c r="AG253" s="2" t="s">
        <v>5</v>
      </c>
      <c r="AH253" s="2" t="s">
        <v>5</v>
      </c>
      <c r="AI253" s="2" t="s">
        <v>5</v>
      </c>
      <c r="AJ253" s="2" t="s">
        <v>5</v>
      </c>
      <c r="AK253" s="2" t="s">
        <v>5</v>
      </c>
      <c r="AL253" s="2" t="s">
        <v>5</v>
      </c>
      <c r="AM253" s="2" t="s">
        <v>5</v>
      </c>
      <c r="AN253" s="20"/>
      <c r="AO253" s="12"/>
    </row>
    <row r="254" spans="1:41">
      <c r="A254" s="21" t="s">
        <v>276</v>
      </c>
      <c r="B254" s="21"/>
      <c r="C254" s="21" t="s">
        <v>210</v>
      </c>
      <c r="D254" s="21" t="s">
        <v>41</v>
      </c>
      <c r="E254" s="21" t="s">
        <v>211</v>
      </c>
      <c r="F254" s="22">
        <v>45880</v>
      </c>
      <c r="G254" s="21" t="s">
        <v>32</v>
      </c>
      <c r="H254" s="21" t="s">
        <v>18</v>
      </c>
      <c r="I254" s="25" t="s">
        <v>9</v>
      </c>
      <c r="J254" s="24" t="s">
        <v>5</v>
      </c>
      <c r="K254" s="24" t="s">
        <v>5</v>
      </c>
      <c r="L254" s="24">
        <f t="shared" ref="L254" si="1010">IF(AND(ISBLANK(L252),ISBLANK(L253)),"A",IFERROR(+MOD(L253-L252,1),L251))</f>
        <v>0.37847222222222221</v>
      </c>
      <c r="M254" s="24" t="s">
        <v>5</v>
      </c>
      <c r="N254" s="24">
        <f t="shared" ref="N254" si="1011">IF(AND(ISBLANK(N252),ISBLANK(N253)),"A",IFERROR(+MOD(N253-N252,1),N251))</f>
        <v>0.375</v>
      </c>
      <c r="O254" s="24" t="s">
        <v>5</v>
      </c>
      <c r="P254" s="24" t="s">
        <v>5</v>
      </c>
      <c r="Q254" s="24" t="s">
        <v>5</v>
      </c>
      <c r="R254" s="24" t="s">
        <v>5</v>
      </c>
      <c r="S254" s="24" t="s">
        <v>5</v>
      </c>
      <c r="T254" s="24" t="s">
        <v>5</v>
      </c>
      <c r="U254" s="24" t="s">
        <v>5</v>
      </c>
      <c r="V254" s="24" t="s">
        <v>5</v>
      </c>
      <c r="W254" s="24" t="s">
        <v>5</v>
      </c>
      <c r="X254" s="24" t="s">
        <v>5</v>
      </c>
      <c r="Y254" s="24" t="s">
        <v>5</v>
      </c>
      <c r="Z254" s="24" t="s">
        <v>5</v>
      </c>
      <c r="AA254" s="24" t="s">
        <v>5</v>
      </c>
      <c r="AB254" s="24" t="s">
        <v>5</v>
      </c>
      <c r="AC254" s="24" t="s">
        <v>5</v>
      </c>
      <c r="AD254" s="24" t="s">
        <v>5</v>
      </c>
      <c r="AE254" s="24" t="s">
        <v>5</v>
      </c>
      <c r="AF254" s="24" t="s">
        <v>5</v>
      </c>
      <c r="AG254" s="24" t="s">
        <v>5</v>
      </c>
      <c r="AH254" s="24" t="s">
        <v>5</v>
      </c>
      <c r="AI254" s="24" t="s">
        <v>5</v>
      </c>
      <c r="AJ254" s="24" t="s">
        <v>5</v>
      </c>
      <c r="AK254" s="24" t="s">
        <v>5</v>
      </c>
      <c r="AL254" s="24" t="s">
        <v>5</v>
      </c>
      <c r="AM254" s="24" t="s">
        <v>5</v>
      </c>
      <c r="AN254" s="17">
        <f>COUNT(F254:AM254)</f>
        <v>3</v>
      </c>
      <c r="AO254" s="21"/>
    </row>
    <row r="255" spans="1:41">
      <c r="A255" s="8" t="s">
        <v>122</v>
      </c>
      <c r="B255" s="12" t="s">
        <v>232</v>
      </c>
      <c r="C255" s="8" t="s">
        <v>43</v>
      </c>
      <c r="D255" s="8" t="s">
        <v>42</v>
      </c>
      <c r="E255" s="8" t="s">
        <v>44</v>
      </c>
      <c r="F255" s="11">
        <v>45875</v>
      </c>
      <c r="G255" s="8" t="s">
        <v>32</v>
      </c>
      <c r="H255" s="12" t="s">
        <v>18</v>
      </c>
      <c r="I255" s="14" t="s">
        <v>4</v>
      </c>
      <c r="J255" s="2" t="s">
        <v>6</v>
      </c>
      <c r="K255" s="2" t="s">
        <v>5</v>
      </c>
      <c r="L255" s="2" t="s">
        <v>6</v>
      </c>
      <c r="M255" s="2" t="s">
        <v>6</v>
      </c>
      <c r="N255" s="2" t="s">
        <v>5</v>
      </c>
      <c r="O255" s="2" t="s">
        <v>6</v>
      </c>
      <c r="P255" s="2" t="s">
        <v>6</v>
      </c>
      <c r="Q255" s="2" t="s">
        <v>5</v>
      </c>
      <c r="R255" s="2" t="s">
        <v>5</v>
      </c>
      <c r="S255" s="2" t="s">
        <v>6</v>
      </c>
      <c r="T255" s="2" t="s">
        <v>6</v>
      </c>
      <c r="U255" s="2" t="s">
        <v>5</v>
      </c>
      <c r="V255" s="2" t="s">
        <v>6</v>
      </c>
      <c r="W255" s="2" t="s">
        <v>6</v>
      </c>
      <c r="X255" s="2" t="s">
        <v>6</v>
      </c>
      <c r="Y255" s="2" t="s">
        <v>5</v>
      </c>
      <c r="Z255" s="2" t="s">
        <v>6</v>
      </c>
      <c r="AA255" s="2" t="s">
        <v>6</v>
      </c>
      <c r="AB255" s="2" t="s">
        <v>6</v>
      </c>
      <c r="AC255" s="2" t="s">
        <v>6</v>
      </c>
      <c r="AD255" s="2" t="s">
        <v>6</v>
      </c>
      <c r="AE255" s="2" t="s">
        <v>6</v>
      </c>
      <c r="AF255" s="2" t="s">
        <v>5</v>
      </c>
      <c r="AG255" s="2" t="s">
        <v>6</v>
      </c>
      <c r="AH255" s="2" t="s">
        <v>5</v>
      </c>
      <c r="AI255" s="2" t="s">
        <v>6</v>
      </c>
      <c r="AJ255" s="2" t="s">
        <v>6</v>
      </c>
      <c r="AK255" s="2" t="s">
        <v>6</v>
      </c>
      <c r="AL255" s="2" t="s">
        <v>5</v>
      </c>
      <c r="AM255" s="2" t="s">
        <v>5</v>
      </c>
      <c r="AN255" s="20"/>
      <c r="AO255" s="12" t="s">
        <v>18</v>
      </c>
    </row>
    <row r="256" spans="1:41">
      <c r="A256" s="8" t="s">
        <v>122</v>
      </c>
      <c r="B256" s="12" t="s">
        <v>232</v>
      </c>
      <c r="C256" s="8" t="s">
        <v>43</v>
      </c>
      <c r="D256" s="8" t="s">
        <v>42</v>
      </c>
      <c r="E256" s="8" t="s">
        <v>44</v>
      </c>
      <c r="F256" s="11">
        <v>45875</v>
      </c>
      <c r="G256" s="8" t="s">
        <v>32</v>
      </c>
      <c r="H256" s="12" t="s">
        <v>18</v>
      </c>
      <c r="I256" s="7" t="s">
        <v>7</v>
      </c>
      <c r="J256" s="2">
        <v>0.375</v>
      </c>
      <c r="K256" s="2" t="s">
        <v>5</v>
      </c>
      <c r="L256" s="2">
        <v>0.375</v>
      </c>
      <c r="M256" s="2">
        <v>0.375</v>
      </c>
      <c r="N256" s="2" t="s">
        <v>5</v>
      </c>
      <c r="O256" s="2">
        <v>0.375</v>
      </c>
      <c r="P256" s="2">
        <v>0.375</v>
      </c>
      <c r="Q256" s="2" t="s">
        <v>5</v>
      </c>
      <c r="R256" s="2" t="s">
        <v>5</v>
      </c>
      <c r="S256" s="2">
        <v>0.375</v>
      </c>
      <c r="T256" s="2">
        <v>0.38541666666666669</v>
      </c>
      <c r="U256" s="2" t="s">
        <v>5</v>
      </c>
      <c r="V256" s="2">
        <v>0.375</v>
      </c>
      <c r="W256" s="2">
        <v>0.375</v>
      </c>
      <c r="X256" s="2">
        <v>0.375</v>
      </c>
      <c r="Y256" s="2" t="s">
        <v>5</v>
      </c>
      <c r="Z256" s="2">
        <v>0.375</v>
      </c>
      <c r="AA256" s="2">
        <v>0.375</v>
      </c>
      <c r="AB256" s="2">
        <v>0.38194444444444442</v>
      </c>
      <c r="AC256" s="2">
        <v>0.375</v>
      </c>
      <c r="AD256" s="2">
        <v>0.375</v>
      </c>
      <c r="AE256" s="2">
        <v>0.375</v>
      </c>
      <c r="AF256" s="2" t="s">
        <v>5</v>
      </c>
      <c r="AG256" s="2">
        <v>0.3888888888888889</v>
      </c>
      <c r="AH256" s="2" t="s">
        <v>5</v>
      </c>
      <c r="AI256" s="2">
        <v>0.375</v>
      </c>
      <c r="AJ256" s="2">
        <v>0.375</v>
      </c>
      <c r="AK256" s="2">
        <v>0.375</v>
      </c>
      <c r="AL256" s="2" t="s">
        <v>5</v>
      </c>
      <c r="AM256" s="2" t="s">
        <v>5</v>
      </c>
      <c r="AN256" s="20"/>
      <c r="AO256" s="12"/>
    </row>
    <row r="257" spans="1:41">
      <c r="A257" s="8" t="s">
        <v>122</v>
      </c>
      <c r="B257" s="12" t="s">
        <v>232</v>
      </c>
      <c r="C257" s="8" t="s">
        <v>43</v>
      </c>
      <c r="D257" s="8" t="s">
        <v>42</v>
      </c>
      <c r="E257" s="8" t="s">
        <v>44</v>
      </c>
      <c r="F257" s="11">
        <v>45875</v>
      </c>
      <c r="G257" s="8" t="s">
        <v>32</v>
      </c>
      <c r="H257" s="12" t="s">
        <v>18</v>
      </c>
      <c r="I257" s="7" t="s">
        <v>8</v>
      </c>
      <c r="J257" s="2">
        <v>0.875</v>
      </c>
      <c r="K257" s="2" t="s">
        <v>5</v>
      </c>
      <c r="L257" s="2">
        <v>0.875</v>
      </c>
      <c r="M257" s="2">
        <v>0.91666666666666663</v>
      </c>
      <c r="N257" s="2" t="s">
        <v>5</v>
      </c>
      <c r="O257" s="2">
        <v>1.0069444444444444</v>
      </c>
      <c r="P257" s="2">
        <v>0.73958333333333337</v>
      </c>
      <c r="Q257" s="2" t="s">
        <v>5</v>
      </c>
      <c r="R257" s="2" t="s">
        <v>5</v>
      </c>
      <c r="S257" s="2">
        <v>0.75</v>
      </c>
      <c r="T257" s="2">
        <v>1.0034722222222221</v>
      </c>
      <c r="U257" s="2" t="s">
        <v>5</v>
      </c>
      <c r="V257" s="2">
        <v>0.83333333333333337</v>
      </c>
      <c r="W257" s="2">
        <v>5.7638888888888885E-2</v>
      </c>
      <c r="X257" s="2">
        <v>8.3333333333333329E-2</v>
      </c>
      <c r="Y257" s="2" t="s">
        <v>5</v>
      </c>
      <c r="Z257" s="2">
        <v>0.85416666666666663</v>
      </c>
      <c r="AA257" s="2">
        <v>0.93055555555555547</v>
      </c>
      <c r="AB257" s="2">
        <v>0.875</v>
      </c>
      <c r="AC257" s="2">
        <v>0.83333333333333337</v>
      </c>
      <c r="AD257" s="2">
        <v>0.92361111111111116</v>
      </c>
      <c r="AE257" s="2">
        <v>0.83333333333333337</v>
      </c>
      <c r="AF257" s="2" t="s">
        <v>5</v>
      </c>
      <c r="AG257" s="2">
        <v>0.67708333333333337</v>
      </c>
      <c r="AH257" s="2" t="s">
        <v>5</v>
      </c>
      <c r="AI257" s="2">
        <v>5.2777777777777778E-2</v>
      </c>
      <c r="AJ257" s="2">
        <v>4.5138888888888888E-2</v>
      </c>
      <c r="AK257" s="2">
        <v>1.0208333333333333</v>
      </c>
      <c r="AL257" s="2" t="s">
        <v>5</v>
      </c>
      <c r="AM257" s="2" t="s">
        <v>5</v>
      </c>
      <c r="AN257" s="20"/>
      <c r="AO257" s="12"/>
    </row>
    <row r="258" spans="1:41">
      <c r="A258" s="21" t="s">
        <v>122</v>
      </c>
      <c r="B258" s="21" t="s">
        <v>232</v>
      </c>
      <c r="C258" s="21" t="s">
        <v>43</v>
      </c>
      <c r="D258" s="21" t="s">
        <v>42</v>
      </c>
      <c r="E258" s="21" t="s">
        <v>44</v>
      </c>
      <c r="F258" s="22">
        <v>45875</v>
      </c>
      <c r="G258" s="21" t="s">
        <v>32</v>
      </c>
      <c r="H258" s="21" t="s">
        <v>18</v>
      </c>
      <c r="I258" s="25" t="s">
        <v>9</v>
      </c>
      <c r="J258" s="24">
        <f>J257-J256</f>
        <v>0.5</v>
      </c>
      <c r="K258" s="24" t="s">
        <v>5</v>
      </c>
      <c r="L258" s="24">
        <f>L257-L256</f>
        <v>0.5</v>
      </c>
      <c r="M258" s="24">
        <f t="shared" ref="M258" si="1012">IF(AND(ISBLANK(M256),ISBLANK(M257)),"A",IFERROR(+MOD(M257-M256,1),M255))</f>
        <v>0.54166666666666663</v>
      </c>
      <c r="N258" s="24" t="s">
        <v>5</v>
      </c>
      <c r="O258" s="24">
        <f t="shared" ref="O258:AM258" si="1013">IF(AND(ISBLANK(O256),ISBLANK(O257)),"A",IFERROR(+MOD(O257-O256,1),O255))</f>
        <v>0.63194444444444442</v>
      </c>
      <c r="P258" s="24">
        <f t="shared" si="1013"/>
        <v>0.36458333333333337</v>
      </c>
      <c r="Q258" s="24" t="s">
        <v>5</v>
      </c>
      <c r="R258" s="24" t="s">
        <v>5</v>
      </c>
      <c r="S258" s="24">
        <f t="shared" si="1013"/>
        <v>0.375</v>
      </c>
      <c r="T258" s="24">
        <f t="shared" si="1013"/>
        <v>0.61805555555555536</v>
      </c>
      <c r="U258" s="24" t="s">
        <v>5</v>
      </c>
      <c r="V258" s="24">
        <f t="shared" si="1013"/>
        <v>0.45833333333333337</v>
      </c>
      <c r="W258" s="24">
        <f t="shared" si="1013"/>
        <v>0.68263888888888891</v>
      </c>
      <c r="X258" s="24">
        <f t="shared" si="1013"/>
        <v>0.70833333333333326</v>
      </c>
      <c r="Y258" s="24" t="s">
        <v>5</v>
      </c>
      <c r="Z258" s="24">
        <f t="shared" si="1013"/>
        <v>0.47916666666666663</v>
      </c>
      <c r="AA258" s="24">
        <f t="shared" si="1013"/>
        <v>0.55555555555555547</v>
      </c>
      <c r="AB258" s="24">
        <f t="shared" si="1013"/>
        <v>0.49305555555555558</v>
      </c>
      <c r="AC258" s="24">
        <f t="shared" si="1013"/>
        <v>0.45833333333333337</v>
      </c>
      <c r="AD258" s="24">
        <f t="shared" si="1013"/>
        <v>0.54861111111111116</v>
      </c>
      <c r="AE258" s="24">
        <f t="shared" si="1013"/>
        <v>0.45833333333333337</v>
      </c>
      <c r="AF258" s="24" t="s">
        <v>5</v>
      </c>
      <c r="AG258" s="24">
        <f t="shared" si="1013"/>
        <v>0.28819444444444448</v>
      </c>
      <c r="AH258" s="24" t="s">
        <v>5</v>
      </c>
      <c r="AI258" s="24">
        <f t="shared" si="1013"/>
        <v>0.67777777777777781</v>
      </c>
      <c r="AJ258" s="24">
        <f t="shared" si="1013"/>
        <v>0.67013888888888884</v>
      </c>
      <c r="AK258" s="24">
        <f t="shared" si="1013"/>
        <v>0.64583333333333326</v>
      </c>
      <c r="AL258" s="24" t="s">
        <v>5</v>
      </c>
      <c r="AM258" s="24" t="s">
        <v>5</v>
      </c>
      <c r="AN258" s="20"/>
      <c r="AO258" s="21"/>
    </row>
    <row r="259" spans="1:41">
      <c r="A259" s="8" t="s">
        <v>159</v>
      </c>
      <c r="B259" s="12" t="s">
        <v>231</v>
      </c>
      <c r="C259" s="8" t="s">
        <v>187</v>
      </c>
      <c r="D259" s="8" t="s">
        <v>158</v>
      </c>
      <c r="E259" s="8" t="s">
        <v>69</v>
      </c>
      <c r="F259" s="11">
        <v>45901</v>
      </c>
      <c r="G259" s="8" t="s">
        <v>32</v>
      </c>
      <c r="H259" s="12" t="s">
        <v>18</v>
      </c>
      <c r="I259" s="14" t="s">
        <v>4</v>
      </c>
      <c r="J259" s="2" t="s">
        <v>5</v>
      </c>
      <c r="K259" s="2" t="s">
        <v>5</v>
      </c>
      <c r="L259" s="2" t="s">
        <v>6</v>
      </c>
      <c r="M259" s="2" t="s">
        <v>6</v>
      </c>
      <c r="N259" s="2" t="s">
        <v>6</v>
      </c>
      <c r="O259" s="2" t="s">
        <v>6</v>
      </c>
      <c r="P259" s="2" t="s">
        <v>6</v>
      </c>
      <c r="Q259" s="2" t="s">
        <v>5</v>
      </c>
      <c r="R259" s="2" t="s">
        <v>5</v>
      </c>
      <c r="S259" s="2" t="s">
        <v>5</v>
      </c>
      <c r="T259" s="2" t="s">
        <v>5</v>
      </c>
      <c r="U259" s="2" t="s">
        <v>5</v>
      </c>
      <c r="V259" s="2" t="s">
        <v>5</v>
      </c>
      <c r="W259" s="2" t="s">
        <v>5</v>
      </c>
      <c r="X259" s="2" t="s">
        <v>5</v>
      </c>
      <c r="Y259" s="2" t="s">
        <v>5</v>
      </c>
      <c r="Z259" s="2" t="s">
        <v>5</v>
      </c>
      <c r="AA259" s="2" t="s">
        <v>5</v>
      </c>
      <c r="AB259" s="2" t="s">
        <v>5</v>
      </c>
      <c r="AC259" s="2" t="s">
        <v>5</v>
      </c>
      <c r="AD259" s="2" t="s">
        <v>5</v>
      </c>
      <c r="AE259" s="2" t="s">
        <v>5</v>
      </c>
      <c r="AF259" s="2" t="s">
        <v>5</v>
      </c>
      <c r="AG259" s="2" t="s">
        <v>5</v>
      </c>
      <c r="AH259" s="2" t="s">
        <v>5</v>
      </c>
      <c r="AI259" s="2" t="s">
        <v>5</v>
      </c>
      <c r="AJ259" s="2" t="s">
        <v>5</v>
      </c>
      <c r="AK259" s="2" t="s">
        <v>5</v>
      </c>
      <c r="AL259" s="2" t="s">
        <v>5</v>
      </c>
      <c r="AM259" s="2" t="s">
        <v>5</v>
      </c>
      <c r="AN259" s="20"/>
      <c r="AO259" s="12" t="s">
        <v>17</v>
      </c>
    </row>
    <row r="260" spans="1:41">
      <c r="A260" s="8" t="s">
        <v>159</v>
      </c>
      <c r="B260" s="12" t="s">
        <v>231</v>
      </c>
      <c r="C260" s="8" t="s">
        <v>187</v>
      </c>
      <c r="D260" s="8" t="s">
        <v>158</v>
      </c>
      <c r="E260" s="8" t="s">
        <v>69</v>
      </c>
      <c r="F260" s="11">
        <v>45901</v>
      </c>
      <c r="G260" s="8" t="s">
        <v>32</v>
      </c>
      <c r="H260" s="12" t="s">
        <v>18</v>
      </c>
      <c r="I260" s="7" t="s">
        <v>7</v>
      </c>
      <c r="J260" s="2" t="s">
        <v>5</v>
      </c>
      <c r="K260" s="2" t="s">
        <v>5</v>
      </c>
      <c r="L260" s="2">
        <v>0.375</v>
      </c>
      <c r="M260" s="2">
        <v>0.39583333333333331</v>
      </c>
      <c r="N260" s="2">
        <v>0.41666666666666669</v>
      </c>
      <c r="O260" s="2">
        <v>0.41666666666666669</v>
      </c>
      <c r="P260" s="2">
        <v>0.42708333333333331</v>
      </c>
      <c r="Q260" s="2" t="s">
        <v>5</v>
      </c>
      <c r="R260" s="2" t="s">
        <v>5</v>
      </c>
      <c r="S260" s="2" t="s">
        <v>5</v>
      </c>
      <c r="T260" s="2" t="s">
        <v>5</v>
      </c>
      <c r="U260" s="2" t="s">
        <v>5</v>
      </c>
      <c r="V260" s="2" t="s">
        <v>5</v>
      </c>
      <c r="W260" s="2" t="s">
        <v>5</v>
      </c>
      <c r="X260" s="2" t="s">
        <v>5</v>
      </c>
      <c r="Y260" s="2" t="s">
        <v>5</v>
      </c>
      <c r="Z260" s="2" t="s">
        <v>5</v>
      </c>
      <c r="AA260" s="2" t="s">
        <v>5</v>
      </c>
      <c r="AB260" s="2" t="s">
        <v>5</v>
      </c>
      <c r="AC260" s="2" t="s">
        <v>5</v>
      </c>
      <c r="AD260" s="2" t="s">
        <v>5</v>
      </c>
      <c r="AE260" s="2" t="s">
        <v>5</v>
      </c>
      <c r="AF260" s="2" t="s">
        <v>5</v>
      </c>
      <c r="AG260" s="2" t="s">
        <v>5</v>
      </c>
      <c r="AH260" s="2" t="s">
        <v>5</v>
      </c>
      <c r="AI260" s="2" t="s">
        <v>5</v>
      </c>
      <c r="AJ260" s="2" t="s">
        <v>5</v>
      </c>
      <c r="AK260" s="2" t="s">
        <v>5</v>
      </c>
      <c r="AL260" s="2" t="s">
        <v>5</v>
      </c>
      <c r="AM260" s="2" t="s">
        <v>5</v>
      </c>
      <c r="AN260" s="20"/>
      <c r="AO260" s="12"/>
    </row>
    <row r="261" spans="1:41">
      <c r="A261" s="8" t="s">
        <v>159</v>
      </c>
      <c r="B261" s="12" t="s">
        <v>231</v>
      </c>
      <c r="C261" s="8" t="s">
        <v>187</v>
      </c>
      <c r="D261" s="8" t="s">
        <v>158</v>
      </c>
      <c r="E261" s="8" t="s">
        <v>69</v>
      </c>
      <c r="F261" s="11">
        <v>45901</v>
      </c>
      <c r="G261" s="8" t="s">
        <v>32</v>
      </c>
      <c r="H261" s="12" t="s">
        <v>18</v>
      </c>
      <c r="I261" s="7" t="s">
        <v>8</v>
      </c>
      <c r="J261" s="2" t="s">
        <v>5</v>
      </c>
      <c r="K261" s="2" t="s">
        <v>5</v>
      </c>
      <c r="L261" s="2">
        <v>0.98263888888888884</v>
      </c>
      <c r="M261" s="2">
        <v>0.13194444444444445</v>
      </c>
      <c r="N261" s="2">
        <v>6.25E-2</v>
      </c>
      <c r="O261" s="2">
        <v>20</v>
      </c>
      <c r="P261" s="2">
        <v>0.875</v>
      </c>
      <c r="Q261" s="2" t="s">
        <v>5</v>
      </c>
      <c r="R261" s="2" t="s">
        <v>5</v>
      </c>
      <c r="S261" s="2" t="s">
        <v>5</v>
      </c>
      <c r="T261" s="2" t="s">
        <v>5</v>
      </c>
      <c r="U261" s="2" t="s">
        <v>5</v>
      </c>
      <c r="V261" s="2" t="s">
        <v>5</v>
      </c>
      <c r="W261" s="2" t="s">
        <v>5</v>
      </c>
      <c r="X261" s="2" t="s">
        <v>5</v>
      </c>
      <c r="Y261" s="2" t="s">
        <v>5</v>
      </c>
      <c r="Z261" s="2" t="s">
        <v>5</v>
      </c>
      <c r="AA261" s="2" t="s">
        <v>5</v>
      </c>
      <c r="AB261" s="2" t="s">
        <v>5</v>
      </c>
      <c r="AC261" s="2" t="s">
        <v>5</v>
      </c>
      <c r="AD261" s="2" t="s">
        <v>5</v>
      </c>
      <c r="AE261" s="2" t="s">
        <v>5</v>
      </c>
      <c r="AF261" s="2" t="s">
        <v>5</v>
      </c>
      <c r="AG261" s="2" t="s">
        <v>5</v>
      </c>
      <c r="AH261" s="2" t="s">
        <v>5</v>
      </c>
      <c r="AI261" s="2" t="s">
        <v>5</v>
      </c>
      <c r="AJ261" s="2" t="s">
        <v>5</v>
      </c>
      <c r="AK261" s="2" t="s">
        <v>5</v>
      </c>
      <c r="AL261" s="2" t="s">
        <v>5</v>
      </c>
      <c r="AM261" s="2" t="s">
        <v>5</v>
      </c>
      <c r="AN261" s="20"/>
      <c r="AO261" s="12"/>
    </row>
    <row r="262" spans="1:41">
      <c r="A262" s="21" t="s">
        <v>159</v>
      </c>
      <c r="B262" s="21" t="s">
        <v>231</v>
      </c>
      <c r="C262" s="21" t="s">
        <v>187</v>
      </c>
      <c r="D262" s="21" t="s">
        <v>158</v>
      </c>
      <c r="E262" s="21" t="s">
        <v>69</v>
      </c>
      <c r="F262" s="22">
        <v>45901</v>
      </c>
      <c r="G262" s="21" t="s">
        <v>32</v>
      </c>
      <c r="H262" s="21" t="s">
        <v>18</v>
      </c>
      <c r="I262" s="25" t="s">
        <v>9</v>
      </c>
      <c r="J262" s="24" t="s">
        <v>5</v>
      </c>
      <c r="K262" s="24" t="s">
        <v>5</v>
      </c>
      <c r="L262" s="24">
        <f>L261-L260</f>
        <v>0.60763888888888884</v>
      </c>
      <c r="M262" s="24">
        <f t="shared" ref="M262" si="1014">IF(AND(ISBLANK(M260),ISBLANK(M261)),"A",IFERROR(+MOD(M261-M260,1),M259))</f>
        <v>0.73611111111111116</v>
      </c>
      <c r="N262" s="24">
        <f t="shared" ref="N262:P262" si="1015">IF(AND(ISBLANK(N260),ISBLANK(N261)),"A",IFERROR(+MOD(N261-N260,1),N259))</f>
        <v>0.64583333333333326</v>
      </c>
      <c r="O262" s="24">
        <f t="shared" si="1015"/>
        <v>0.58333333333333215</v>
      </c>
      <c r="P262" s="24">
        <f t="shared" si="1015"/>
        <v>0.44791666666666669</v>
      </c>
      <c r="Q262" s="24" t="s">
        <v>5</v>
      </c>
      <c r="R262" s="24" t="s">
        <v>5</v>
      </c>
      <c r="S262" s="24" t="s">
        <v>5</v>
      </c>
      <c r="T262" s="24" t="s">
        <v>5</v>
      </c>
      <c r="U262" s="24" t="s">
        <v>5</v>
      </c>
      <c r="V262" s="24" t="s">
        <v>5</v>
      </c>
      <c r="W262" s="24" t="s">
        <v>5</v>
      </c>
      <c r="X262" s="24" t="s">
        <v>5</v>
      </c>
      <c r="Y262" s="24" t="s">
        <v>5</v>
      </c>
      <c r="Z262" s="24" t="s">
        <v>5</v>
      </c>
      <c r="AA262" s="24" t="s">
        <v>5</v>
      </c>
      <c r="AB262" s="24" t="s">
        <v>5</v>
      </c>
      <c r="AC262" s="24" t="s">
        <v>5</v>
      </c>
      <c r="AD262" s="24" t="s">
        <v>5</v>
      </c>
      <c r="AE262" s="24" t="s">
        <v>5</v>
      </c>
      <c r="AF262" s="24" t="s">
        <v>5</v>
      </c>
      <c r="AG262" s="24" t="s">
        <v>5</v>
      </c>
      <c r="AH262" s="24" t="s">
        <v>5</v>
      </c>
      <c r="AI262" s="24" t="s">
        <v>5</v>
      </c>
      <c r="AJ262" s="24" t="s">
        <v>5</v>
      </c>
      <c r="AK262" s="24" t="s">
        <v>5</v>
      </c>
      <c r="AL262" s="24" t="s">
        <v>5</v>
      </c>
      <c r="AM262" s="24" t="s">
        <v>5</v>
      </c>
      <c r="AN262" s="20"/>
      <c r="AO262" s="21"/>
    </row>
    <row r="263" spans="1:41">
      <c r="A263" s="8" t="s">
        <v>165</v>
      </c>
      <c r="B263" s="12" t="s">
        <v>235</v>
      </c>
      <c r="C263" s="8" t="s">
        <v>87</v>
      </c>
      <c r="D263" s="8" t="s">
        <v>42</v>
      </c>
      <c r="E263" s="8" t="s">
        <v>88</v>
      </c>
      <c r="F263" s="11">
        <v>45906</v>
      </c>
      <c r="G263" s="8" t="s">
        <v>32</v>
      </c>
      <c r="H263" s="12" t="s">
        <v>18</v>
      </c>
      <c r="I263" s="14" t="s">
        <v>4</v>
      </c>
      <c r="J263" s="2" t="s">
        <v>5</v>
      </c>
      <c r="K263" s="2" t="s">
        <v>5</v>
      </c>
      <c r="L263" s="2" t="s">
        <v>5</v>
      </c>
      <c r="M263" s="2" t="s">
        <v>6</v>
      </c>
      <c r="N263" s="2" t="s">
        <v>6</v>
      </c>
      <c r="O263" s="2" t="s">
        <v>5</v>
      </c>
      <c r="P263" s="2" t="s">
        <v>6</v>
      </c>
      <c r="Q263" s="2" t="s">
        <v>6</v>
      </c>
      <c r="R263" s="2" t="s">
        <v>5</v>
      </c>
      <c r="S263" s="2" t="s">
        <v>6</v>
      </c>
      <c r="T263" s="2" t="s">
        <v>6</v>
      </c>
      <c r="U263" s="2" t="s">
        <v>6</v>
      </c>
      <c r="V263" s="2" t="s">
        <v>6</v>
      </c>
      <c r="W263" s="2" t="s">
        <v>6</v>
      </c>
      <c r="X263" s="2" t="s">
        <v>6</v>
      </c>
      <c r="Y263" s="2" t="s">
        <v>5</v>
      </c>
      <c r="Z263" s="2" t="s">
        <v>6</v>
      </c>
      <c r="AA263" s="2" t="s">
        <v>6</v>
      </c>
      <c r="AB263" s="2" t="s">
        <v>6</v>
      </c>
      <c r="AC263" s="2" t="s">
        <v>6</v>
      </c>
      <c r="AD263" s="2" t="s">
        <v>6</v>
      </c>
      <c r="AE263" s="2" t="s">
        <v>5</v>
      </c>
      <c r="AF263" s="2" t="s">
        <v>5</v>
      </c>
      <c r="AG263" s="2" t="s">
        <v>6</v>
      </c>
      <c r="AH263" s="2" t="s">
        <v>6</v>
      </c>
      <c r="AI263" s="2" t="s">
        <v>6</v>
      </c>
      <c r="AJ263" s="2" t="s">
        <v>6</v>
      </c>
      <c r="AK263" s="2" t="s">
        <v>6</v>
      </c>
      <c r="AL263" s="2" t="s">
        <v>6</v>
      </c>
      <c r="AM263" s="2" t="s">
        <v>5</v>
      </c>
      <c r="AN263" s="20"/>
      <c r="AO263" s="12" t="s">
        <v>18</v>
      </c>
    </row>
    <row r="264" spans="1:41">
      <c r="A264" s="8" t="s">
        <v>165</v>
      </c>
      <c r="B264" s="12" t="s">
        <v>235</v>
      </c>
      <c r="C264" s="8" t="s">
        <v>87</v>
      </c>
      <c r="D264" s="8" t="s">
        <v>42</v>
      </c>
      <c r="E264" s="8" t="s">
        <v>88</v>
      </c>
      <c r="F264" s="11">
        <v>45906</v>
      </c>
      <c r="G264" s="8" t="s">
        <v>32</v>
      </c>
      <c r="H264" s="12" t="s">
        <v>18</v>
      </c>
      <c r="I264" s="7" t="s">
        <v>7</v>
      </c>
      <c r="J264" s="2" t="s">
        <v>5</v>
      </c>
      <c r="K264" s="2" t="s">
        <v>5</v>
      </c>
      <c r="L264" s="2" t="s">
        <v>5</v>
      </c>
      <c r="M264" s="2">
        <v>0.375</v>
      </c>
      <c r="N264" s="2">
        <v>0.375</v>
      </c>
      <c r="O264" s="2" t="s">
        <v>5</v>
      </c>
      <c r="P264" s="2">
        <v>0.375</v>
      </c>
      <c r="Q264" s="2">
        <v>0.375</v>
      </c>
      <c r="R264" s="2" t="s">
        <v>5</v>
      </c>
      <c r="S264" s="2">
        <v>0.375</v>
      </c>
      <c r="T264" s="2">
        <v>0.375</v>
      </c>
      <c r="U264" s="2">
        <v>0.375</v>
      </c>
      <c r="V264" s="2">
        <v>0.375</v>
      </c>
      <c r="W264" s="2">
        <v>0.375</v>
      </c>
      <c r="X264" s="2">
        <v>0.375</v>
      </c>
      <c r="Y264" s="2" t="s">
        <v>5</v>
      </c>
      <c r="Z264" s="2">
        <v>0.375</v>
      </c>
      <c r="AA264" s="2">
        <v>0.375</v>
      </c>
      <c r="AB264" s="2">
        <v>0.375</v>
      </c>
      <c r="AC264" s="2">
        <v>0.375</v>
      </c>
      <c r="AD264" s="2">
        <v>0.375</v>
      </c>
      <c r="AE264" s="2" t="s">
        <v>5</v>
      </c>
      <c r="AF264" s="2" t="s">
        <v>5</v>
      </c>
      <c r="AG264" s="2">
        <v>0.38541666666666669</v>
      </c>
      <c r="AH264" s="2">
        <v>0.39583333333333331</v>
      </c>
      <c r="AI264" s="2">
        <v>0.375</v>
      </c>
      <c r="AJ264" s="2">
        <v>0.375</v>
      </c>
      <c r="AK264" s="2">
        <v>0.54166666666666663</v>
      </c>
      <c r="AL264" s="2">
        <v>0.41666666666666669</v>
      </c>
      <c r="AM264" s="2" t="s">
        <v>5</v>
      </c>
      <c r="AN264" s="20"/>
      <c r="AO264" s="12"/>
    </row>
    <row r="265" spans="1:41">
      <c r="A265" s="8" t="s">
        <v>165</v>
      </c>
      <c r="B265" s="12" t="s">
        <v>235</v>
      </c>
      <c r="C265" s="8" t="s">
        <v>87</v>
      </c>
      <c r="D265" s="8" t="s">
        <v>42</v>
      </c>
      <c r="E265" s="8" t="s">
        <v>88</v>
      </c>
      <c r="F265" s="11">
        <v>45906</v>
      </c>
      <c r="G265" s="8" t="s">
        <v>32</v>
      </c>
      <c r="H265" s="12" t="s">
        <v>18</v>
      </c>
      <c r="I265" s="7" t="s">
        <v>8</v>
      </c>
      <c r="J265" s="2" t="s">
        <v>5</v>
      </c>
      <c r="K265" s="2" t="s">
        <v>5</v>
      </c>
      <c r="L265" s="2" t="s">
        <v>5</v>
      </c>
      <c r="M265" s="2">
        <v>0.8125</v>
      </c>
      <c r="N265" s="2">
        <v>0.55555555555555558</v>
      </c>
      <c r="O265" s="2" t="s">
        <v>5</v>
      </c>
      <c r="P265" s="2">
        <v>0.75</v>
      </c>
      <c r="Q265" s="2">
        <v>0.75</v>
      </c>
      <c r="R265" s="2" t="s">
        <v>5</v>
      </c>
      <c r="S265" s="2">
        <v>0.75</v>
      </c>
      <c r="T265" s="2">
        <v>0.75</v>
      </c>
      <c r="U265" s="2">
        <v>0.83750000000000002</v>
      </c>
      <c r="V265" s="2">
        <v>0.83333333333333337</v>
      </c>
      <c r="W265" s="2">
        <v>0.875</v>
      </c>
      <c r="X265" s="2">
        <v>0.79166666666666663</v>
      </c>
      <c r="Y265" s="2" t="s">
        <v>5</v>
      </c>
      <c r="Z265" s="2">
        <v>0.79166666666666663</v>
      </c>
      <c r="AA265" s="2">
        <v>0.80555555555555547</v>
      </c>
      <c r="AB265" s="2">
        <v>0.875</v>
      </c>
      <c r="AC265" s="2">
        <v>0.875</v>
      </c>
      <c r="AD265" s="2">
        <v>0.85416666666666663</v>
      </c>
      <c r="AE265" s="2" t="s">
        <v>5</v>
      </c>
      <c r="AF265" s="2" t="s">
        <v>5</v>
      </c>
      <c r="AG265" s="2">
        <v>0.875</v>
      </c>
      <c r="AH265" s="2">
        <v>0.75</v>
      </c>
      <c r="AI265" s="2">
        <v>0.79166666666666663</v>
      </c>
      <c r="AJ265" s="2">
        <v>0.94236111111111109</v>
      </c>
      <c r="AK265" s="2">
        <v>0.9375</v>
      </c>
      <c r="AL265" s="2">
        <v>0.93055555555555547</v>
      </c>
      <c r="AM265" s="2" t="s">
        <v>5</v>
      </c>
      <c r="AN265" s="20"/>
      <c r="AO265" s="12"/>
    </row>
    <row r="266" spans="1:41">
      <c r="A266" s="21" t="s">
        <v>165</v>
      </c>
      <c r="B266" s="21" t="s">
        <v>235</v>
      </c>
      <c r="C266" s="21" t="s">
        <v>87</v>
      </c>
      <c r="D266" s="21" t="s">
        <v>42</v>
      </c>
      <c r="E266" s="21" t="s">
        <v>88</v>
      </c>
      <c r="F266" s="22">
        <v>45906</v>
      </c>
      <c r="G266" s="21" t="s">
        <v>32</v>
      </c>
      <c r="H266" s="21" t="s">
        <v>18</v>
      </c>
      <c r="I266" s="25" t="s">
        <v>9</v>
      </c>
      <c r="J266" s="24" t="s">
        <v>5</v>
      </c>
      <c r="K266" s="24" t="s">
        <v>5</v>
      </c>
      <c r="L266" s="24" t="s">
        <v>5</v>
      </c>
      <c r="M266" s="24">
        <f t="shared" ref="M266:AM266" si="1016">IF(AND(ISBLANK(M264),ISBLANK(M265)),"A",IFERROR(+MOD(M265-M264,1),M263))</f>
        <v>0.4375</v>
      </c>
      <c r="N266" s="24">
        <f t="shared" si="1016"/>
        <v>0.18055555555555558</v>
      </c>
      <c r="O266" s="24" t="s">
        <v>5</v>
      </c>
      <c r="P266" s="24">
        <f t="shared" si="1016"/>
        <v>0.375</v>
      </c>
      <c r="Q266" s="24">
        <f t="shared" si="1016"/>
        <v>0.375</v>
      </c>
      <c r="R266" s="24" t="s">
        <v>5</v>
      </c>
      <c r="S266" s="24">
        <f t="shared" si="1016"/>
        <v>0.375</v>
      </c>
      <c r="T266" s="24">
        <f t="shared" si="1016"/>
        <v>0.375</v>
      </c>
      <c r="U266" s="24">
        <f t="shared" si="1016"/>
        <v>0.46250000000000002</v>
      </c>
      <c r="V266" s="24">
        <f t="shared" si="1016"/>
        <v>0.45833333333333337</v>
      </c>
      <c r="W266" s="24">
        <f t="shared" si="1016"/>
        <v>0.5</v>
      </c>
      <c r="X266" s="24">
        <f t="shared" si="1016"/>
        <v>0.41666666666666663</v>
      </c>
      <c r="Y266" s="24" t="s">
        <v>5</v>
      </c>
      <c r="Z266" s="24">
        <f t="shared" si="1016"/>
        <v>0.41666666666666663</v>
      </c>
      <c r="AA266" s="24">
        <f t="shared" si="1016"/>
        <v>0.43055555555555547</v>
      </c>
      <c r="AB266" s="24">
        <f t="shared" si="1016"/>
        <v>0.5</v>
      </c>
      <c r="AC266" s="24">
        <f t="shared" si="1016"/>
        <v>0.5</v>
      </c>
      <c r="AD266" s="24">
        <f t="shared" si="1016"/>
        <v>0.47916666666666663</v>
      </c>
      <c r="AE266" s="24" t="s">
        <v>5</v>
      </c>
      <c r="AF266" s="24" t="s">
        <v>5</v>
      </c>
      <c r="AG266" s="24">
        <f t="shared" si="1016"/>
        <v>0.48958333333333331</v>
      </c>
      <c r="AH266" s="24">
        <f t="shared" si="1016"/>
        <v>0.35416666666666669</v>
      </c>
      <c r="AI266" s="24">
        <f t="shared" si="1016"/>
        <v>0.41666666666666663</v>
      </c>
      <c r="AJ266" s="24">
        <f t="shared" si="1016"/>
        <v>0.56736111111111109</v>
      </c>
      <c r="AK266" s="24">
        <f t="shared" ref="AK266" si="1017">IF(AND(ISBLANK(AK264),ISBLANK(AK265)),"A",IFERROR(+MOD(AK265-AK264,1),AK263))</f>
        <v>0.39583333333333337</v>
      </c>
      <c r="AL266" s="24">
        <f t="shared" si="1016"/>
        <v>0.51388888888888884</v>
      </c>
      <c r="AM266" s="24" t="s">
        <v>5</v>
      </c>
      <c r="AN266" s="20"/>
      <c r="AO266" s="21"/>
    </row>
    <row r="267" spans="1:41">
      <c r="A267" s="57" t="s">
        <v>277</v>
      </c>
      <c r="B267" s="12" t="s">
        <v>238</v>
      </c>
      <c r="C267" s="8" t="s">
        <v>216</v>
      </c>
      <c r="D267" s="8" t="s">
        <v>41</v>
      </c>
      <c r="E267" s="8"/>
      <c r="F267" s="11">
        <v>45971</v>
      </c>
      <c r="G267" s="8" t="s">
        <v>96</v>
      </c>
      <c r="H267" s="12" t="s">
        <v>18</v>
      </c>
      <c r="I267" s="14" t="s">
        <v>4</v>
      </c>
      <c r="J267" s="2" t="s">
        <v>5</v>
      </c>
      <c r="K267" s="2" t="s">
        <v>5</v>
      </c>
      <c r="L267" s="2" t="s">
        <v>5</v>
      </c>
      <c r="M267" s="2" t="s">
        <v>5</v>
      </c>
      <c r="N267" s="2" t="s">
        <v>5</v>
      </c>
      <c r="O267" s="2" t="s">
        <v>5</v>
      </c>
      <c r="P267" s="2" t="s">
        <v>5</v>
      </c>
      <c r="Q267" s="2" t="s">
        <v>5</v>
      </c>
      <c r="R267" s="2" t="s">
        <v>5</v>
      </c>
      <c r="S267" s="2" t="s">
        <v>6</v>
      </c>
      <c r="T267" s="2" t="s">
        <v>6</v>
      </c>
      <c r="U267" s="2" t="s">
        <v>6</v>
      </c>
      <c r="V267" s="2" t="s">
        <v>6</v>
      </c>
      <c r="W267" s="2" t="s">
        <v>6</v>
      </c>
      <c r="X267" s="2" t="s">
        <v>6</v>
      </c>
      <c r="Y267" s="2" t="s">
        <v>6</v>
      </c>
      <c r="Z267" s="2" t="s">
        <v>6</v>
      </c>
      <c r="AA267" s="2" t="s">
        <v>6</v>
      </c>
      <c r="AB267" s="2" t="s">
        <v>6</v>
      </c>
      <c r="AC267" s="2" t="s">
        <v>6</v>
      </c>
      <c r="AD267" s="2" t="s">
        <v>6</v>
      </c>
      <c r="AE267" s="2" t="s">
        <v>6</v>
      </c>
      <c r="AF267" s="2" t="s">
        <v>5</v>
      </c>
      <c r="AG267" s="2" t="s">
        <v>6</v>
      </c>
      <c r="AH267" s="2" t="s">
        <v>6</v>
      </c>
      <c r="AI267" s="2" t="s">
        <v>6</v>
      </c>
      <c r="AJ267" s="2" t="s">
        <v>6</v>
      </c>
      <c r="AK267" s="2" t="s">
        <v>6</v>
      </c>
      <c r="AL267" s="2" t="s">
        <v>6</v>
      </c>
      <c r="AM267" s="2" t="s">
        <v>5</v>
      </c>
      <c r="AN267" s="20"/>
      <c r="AO267" s="12" t="s">
        <v>18</v>
      </c>
    </row>
    <row r="268" spans="1:41">
      <c r="A268" s="57" t="s">
        <v>277</v>
      </c>
      <c r="B268" s="12" t="s">
        <v>238</v>
      </c>
      <c r="C268" s="8" t="s">
        <v>216</v>
      </c>
      <c r="D268" s="8" t="s">
        <v>41</v>
      </c>
      <c r="E268" s="8"/>
      <c r="F268" s="11">
        <v>45971</v>
      </c>
      <c r="G268" s="8" t="s">
        <v>96</v>
      </c>
      <c r="H268" s="12" t="s">
        <v>18</v>
      </c>
      <c r="I268" s="7" t="s">
        <v>7</v>
      </c>
      <c r="J268" s="2" t="s">
        <v>5</v>
      </c>
      <c r="K268" s="2" t="s">
        <v>5</v>
      </c>
      <c r="L268" s="2" t="s">
        <v>5</v>
      </c>
      <c r="M268" s="2" t="s">
        <v>5</v>
      </c>
      <c r="N268" s="2" t="s">
        <v>5</v>
      </c>
      <c r="O268" s="2" t="s">
        <v>5</v>
      </c>
      <c r="P268" s="2" t="s">
        <v>5</v>
      </c>
      <c r="Q268" s="2" t="s">
        <v>5</v>
      </c>
      <c r="R268" s="2" t="s">
        <v>5</v>
      </c>
      <c r="S268" s="2">
        <v>0.4375</v>
      </c>
      <c r="T268" s="2">
        <v>0.3888888888888889</v>
      </c>
      <c r="U268" s="2">
        <v>0.39583333333333331</v>
      </c>
      <c r="V268" s="2">
        <v>0.39305555555555555</v>
      </c>
      <c r="W268" s="2">
        <v>0.39583333333333331</v>
      </c>
      <c r="X268" s="2">
        <v>0.3923611111111111</v>
      </c>
      <c r="Y268" s="2">
        <v>0.40625</v>
      </c>
      <c r="Z268" s="2">
        <v>0.3923611111111111</v>
      </c>
      <c r="AA268" s="2">
        <v>0.39583333333333331</v>
      </c>
      <c r="AB268" s="2">
        <v>0.39583333333333331</v>
      </c>
      <c r="AC268" s="2">
        <v>0.40277777777777773</v>
      </c>
      <c r="AD268" s="2">
        <v>0.39930555555555558</v>
      </c>
      <c r="AE268" s="2">
        <v>0.3923611111111111</v>
      </c>
      <c r="AF268" s="2" t="s">
        <v>5</v>
      </c>
      <c r="AG268" s="2">
        <v>0.40277777777777773</v>
      </c>
      <c r="AH268" s="2">
        <v>0.40625</v>
      </c>
      <c r="AI268" s="2">
        <v>0.39583333333333331</v>
      </c>
      <c r="AJ268" s="2">
        <v>0.40277777777777773</v>
      </c>
      <c r="AK268" s="2">
        <v>0.40972222222222227</v>
      </c>
      <c r="AL268" s="2">
        <v>0.40277777777777773</v>
      </c>
      <c r="AM268" s="2" t="s">
        <v>5</v>
      </c>
      <c r="AN268" s="20"/>
      <c r="AO268" s="12"/>
    </row>
    <row r="269" spans="1:41">
      <c r="A269" s="57" t="s">
        <v>277</v>
      </c>
      <c r="B269" s="12" t="s">
        <v>238</v>
      </c>
      <c r="C269" s="8" t="s">
        <v>216</v>
      </c>
      <c r="D269" s="8" t="s">
        <v>41</v>
      </c>
      <c r="E269" s="8"/>
      <c r="F269" s="11">
        <v>45971</v>
      </c>
      <c r="G269" s="8" t="s">
        <v>96</v>
      </c>
      <c r="H269" s="12" t="s">
        <v>18</v>
      </c>
      <c r="I269" s="7" t="s">
        <v>8</v>
      </c>
      <c r="J269" s="2" t="s">
        <v>5</v>
      </c>
      <c r="K269" s="2" t="s">
        <v>5</v>
      </c>
      <c r="L269" s="2" t="s">
        <v>5</v>
      </c>
      <c r="M269" s="2" t="s">
        <v>5</v>
      </c>
      <c r="N269" s="2" t="s">
        <v>5</v>
      </c>
      <c r="O269" s="2" t="s">
        <v>5</v>
      </c>
      <c r="P269" s="2" t="s">
        <v>5</v>
      </c>
      <c r="Q269" s="2" t="s">
        <v>5</v>
      </c>
      <c r="R269" s="2" t="s">
        <v>5</v>
      </c>
      <c r="S269" s="2">
        <v>0.92708333333333337</v>
      </c>
      <c r="T269" s="2">
        <v>1.0208333333333333</v>
      </c>
      <c r="U269" s="2">
        <v>0.94791666666666663</v>
      </c>
      <c r="V269" s="2">
        <v>0.93819444444444444</v>
      </c>
      <c r="W269" s="2">
        <v>0.94791666666666663</v>
      </c>
      <c r="X269" s="2">
        <v>0.85625000000000007</v>
      </c>
      <c r="Y269" s="2">
        <v>0.93472222222222223</v>
      </c>
      <c r="Z269" s="2">
        <v>0.86944444444444446</v>
      </c>
      <c r="AA269" s="2">
        <v>0.89722222222222225</v>
      </c>
      <c r="AB269" s="2">
        <v>0.94097222222222221</v>
      </c>
      <c r="AC269" s="2">
        <v>0.86458333333333337</v>
      </c>
      <c r="AD269" s="2">
        <v>0.95833333333333337</v>
      </c>
      <c r="AE269" s="2">
        <v>6.25E-2</v>
      </c>
      <c r="AF269" s="2" t="s">
        <v>5</v>
      </c>
      <c r="AG269" s="2">
        <v>0.98611111111111116</v>
      </c>
      <c r="AH269" s="2">
        <v>0.875</v>
      </c>
      <c r="AI269" s="2">
        <v>0.9375</v>
      </c>
      <c r="AJ269" s="2">
        <v>0.98958333333333337</v>
      </c>
      <c r="AK269" s="2">
        <v>6.5972222222222224E-2</v>
      </c>
      <c r="AL269" s="2">
        <v>0.22222222222222221</v>
      </c>
      <c r="AM269" s="2" t="s">
        <v>5</v>
      </c>
      <c r="AN269" s="20"/>
      <c r="AO269" s="12"/>
    </row>
    <row r="270" spans="1:41">
      <c r="A270" s="21" t="s">
        <v>277</v>
      </c>
      <c r="B270" s="21" t="s">
        <v>238</v>
      </c>
      <c r="C270" s="21" t="s">
        <v>216</v>
      </c>
      <c r="D270" s="21" t="s">
        <v>41</v>
      </c>
      <c r="E270" s="21"/>
      <c r="F270" s="22">
        <v>45971</v>
      </c>
      <c r="G270" s="21" t="s">
        <v>96</v>
      </c>
      <c r="H270" s="21" t="s">
        <v>18</v>
      </c>
      <c r="I270" s="25" t="s">
        <v>9</v>
      </c>
      <c r="J270" s="24" t="s">
        <v>5</v>
      </c>
      <c r="K270" s="24" t="s">
        <v>5</v>
      </c>
      <c r="L270" s="24" t="s">
        <v>5</v>
      </c>
      <c r="M270" s="24" t="s">
        <v>5</v>
      </c>
      <c r="N270" s="24" t="s">
        <v>5</v>
      </c>
      <c r="O270" s="24" t="s">
        <v>5</v>
      </c>
      <c r="P270" s="24" t="s">
        <v>5</v>
      </c>
      <c r="Q270" s="24" t="s">
        <v>5</v>
      </c>
      <c r="R270" s="24" t="s">
        <v>5</v>
      </c>
      <c r="S270" s="24">
        <f t="shared" ref="S270:AL270" si="1018">IF(AND(ISBLANK(S268),ISBLANK(S269)),"A",IFERROR(+MOD(S269-S268,1),S267))</f>
        <v>0.48958333333333337</v>
      </c>
      <c r="T270" s="24">
        <f t="shared" si="1018"/>
        <v>0.63194444444444442</v>
      </c>
      <c r="U270" s="24">
        <f t="shared" si="1018"/>
        <v>0.55208333333333326</v>
      </c>
      <c r="V270" s="24">
        <f t="shared" si="1018"/>
        <v>0.54513888888888884</v>
      </c>
      <c r="W270" s="24">
        <f t="shared" si="1018"/>
        <v>0.55208333333333326</v>
      </c>
      <c r="X270" s="24">
        <f t="shared" si="1018"/>
        <v>0.46388888888888896</v>
      </c>
      <c r="Y270" s="24">
        <f t="shared" si="1018"/>
        <v>0.52847222222222223</v>
      </c>
      <c r="Z270" s="24">
        <f t="shared" si="1018"/>
        <v>0.47708333333333336</v>
      </c>
      <c r="AA270" s="24">
        <f t="shared" si="1018"/>
        <v>0.50138888888888888</v>
      </c>
      <c r="AB270" s="24">
        <f t="shared" si="1018"/>
        <v>0.54513888888888884</v>
      </c>
      <c r="AC270" s="24">
        <f t="shared" si="1018"/>
        <v>0.46180555555555564</v>
      </c>
      <c r="AD270" s="24">
        <f t="shared" si="1018"/>
        <v>0.55902777777777779</v>
      </c>
      <c r="AE270" s="24">
        <f t="shared" si="1018"/>
        <v>0.67013888888888884</v>
      </c>
      <c r="AF270" s="24" t="s">
        <v>5</v>
      </c>
      <c r="AG270" s="24">
        <f t="shared" si="1018"/>
        <v>0.58333333333333348</v>
      </c>
      <c r="AH270" s="24">
        <f t="shared" si="1018"/>
        <v>0.46875</v>
      </c>
      <c r="AI270" s="24">
        <f t="shared" si="1018"/>
        <v>0.54166666666666674</v>
      </c>
      <c r="AJ270" s="24">
        <f t="shared" si="1018"/>
        <v>0.58680555555555558</v>
      </c>
      <c r="AK270" s="24">
        <f t="shared" si="1018"/>
        <v>0.65625</v>
      </c>
      <c r="AL270" s="24">
        <f t="shared" si="1018"/>
        <v>0.81944444444444442</v>
      </c>
      <c r="AM270" s="24" t="s">
        <v>5</v>
      </c>
      <c r="AN270" s="20"/>
      <c r="AO270" s="21"/>
    </row>
    <row r="271" spans="1:41">
      <c r="A271" s="55" t="s">
        <v>278</v>
      </c>
      <c r="B271" s="12" t="s">
        <v>232</v>
      </c>
      <c r="C271" s="8" t="s">
        <v>220</v>
      </c>
      <c r="D271" s="8" t="s">
        <v>42</v>
      </c>
      <c r="E271" s="8" t="s">
        <v>221</v>
      </c>
      <c r="F271" s="11">
        <v>45974</v>
      </c>
      <c r="G271" s="8" t="s">
        <v>32</v>
      </c>
      <c r="H271" s="12" t="s">
        <v>18</v>
      </c>
      <c r="I271" s="14" t="s">
        <v>4</v>
      </c>
      <c r="J271" s="2" t="s">
        <v>5</v>
      </c>
      <c r="K271" s="2" t="s">
        <v>5</v>
      </c>
      <c r="L271" s="2" t="s">
        <v>5</v>
      </c>
      <c r="M271" s="2" t="s">
        <v>5</v>
      </c>
      <c r="N271" s="2" t="s">
        <v>5</v>
      </c>
      <c r="O271" s="2" t="s">
        <v>5</v>
      </c>
      <c r="P271" s="2" t="s">
        <v>5</v>
      </c>
      <c r="Q271" s="2" t="s">
        <v>5</v>
      </c>
      <c r="R271" s="2" t="s">
        <v>5</v>
      </c>
      <c r="S271" s="2" t="s">
        <v>5</v>
      </c>
      <c r="T271" s="2" t="s">
        <v>5</v>
      </c>
      <c r="U271" s="2" t="s">
        <v>5</v>
      </c>
      <c r="V271" s="2" t="s">
        <v>6</v>
      </c>
      <c r="W271" s="2" t="s">
        <v>6</v>
      </c>
      <c r="X271" s="2" t="s">
        <v>6</v>
      </c>
      <c r="Y271" s="2" t="s">
        <v>5</v>
      </c>
      <c r="Z271" s="2" t="s">
        <v>6</v>
      </c>
      <c r="AA271" s="2" t="s">
        <v>5</v>
      </c>
      <c r="AB271" s="2" t="s">
        <v>6</v>
      </c>
      <c r="AC271" s="2" t="s">
        <v>6</v>
      </c>
      <c r="AD271" s="2" t="s">
        <v>6</v>
      </c>
      <c r="AE271" s="2" t="s">
        <v>6</v>
      </c>
      <c r="AF271" s="2" t="s">
        <v>5</v>
      </c>
      <c r="AG271" s="2" t="s">
        <v>6</v>
      </c>
      <c r="AH271" s="2" t="s">
        <v>6</v>
      </c>
      <c r="AI271" s="2" t="s">
        <v>5</v>
      </c>
      <c r="AJ271" s="2" t="s">
        <v>5</v>
      </c>
      <c r="AK271" s="2" t="s">
        <v>5</v>
      </c>
      <c r="AL271" s="2" t="s">
        <v>5</v>
      </c>
      <c r="AM271" s="2" t="s">
        <v>5</v>
      </c>
      <c r="AN271" s="20"/>
      <c r="AO271" s="12" t="s">
        <v>18</v>
      </c>
    </row>
    <row r="272" spans="1:41">
      <c r="A272" s="55" t="s">
        <v>278</v>
      </c>
      <c r="B272" s="12" t="s">
        <v>232</v>
      </c>
      <c r="C272" s="8" t="s">
        <v>220</v>
      </c>
      <c r="D272" s="8" t="s">
        <v>42</v>
      </c>
      <c r="E272" s="8" t="s">
        <v>221</v>
      </c>
      <c r="F272" s="11">
        <v>45974</v>
      </c>
      <c r="G272" s="8" t="s">
        <v>32</v>
      </c>
      <c r="H272" s="12" t="s">
        <v>18</v>
      </c>
      <c r="I272" s="7" t="s">
        <v>7</v>
      </c>
      <c r="J272" s="2" t="s">
        <v>5</v>
      </c>
      <c r="K272" s="2" t="s">
        <v>5</v>
      </c>
      <c r="L272" s="2" t="s">
        <v>5</v>
      </c>
      <c r="M272" s="2" t="s">
        <v>5</v>
      </c>
      <c r="N272" s="2" t="s">
        <v>5</v>
      </c>
      <c r="O272" s="2" t="s">
        <v>5</v>
      </c>
      <c r="P272" s="2" t="s">
        <v>5</v>
      </c>
      <c r="Q272" s="2" t="s">
        <v>5</v>
      </c>
      <c r="R272" s="2" t="s">
        <v>5</v>
      </c>
      <c r="S272" s="2" t="s">
        <v>5</v>
      </c>
      <c r="T272" s="2" t="s">
        <v>5</v>
      </c>
      <c r="U272" s="2" t="s">
        <v>5</v>
      </c>
      <c r="V272" s="2">
        <v>0.375</v>
      </c>
      <c r="W272" s="2">
        <v>0.375</v>
      </c>
      <c r="X272" s="2">
        <v>0.3923611111111111</v>
      </c>
      <c r="Y272" s="2" t="s">
        <v>5</v>
      </c>
      <c r="Z272" s="2">
        <v>0.375</v>
      </c>
      <c r="AA272" s="2" t="s">
        <v>5</v>
      </c>
      <c r="AB272" s="2">
        <v>0.39930555555555558</v>
      </c>
      <c r="AC272" s="2">
        <v>0.375</v>
      </c>
      <c r="AD272" s="2">
        <v>0.3888888888888889</v>
      </c>
      <c r="AE272" s="2">
        <v>0.39930555555555558</v>
      </c>
      <c r="AF272" s="2" t="s">
        <v>5</v>
      </c>
      <c r="AG272" s="2">
        <v>0.38541666666666669</v>
      </c>
      <c r="AH272" s="2">
        <v>0.375</v>
      </c>
      <c r="AI272" s="2" t="s">
        <v>5</v>
      </c>
      <c r="AJ272" s="2" t="s">
        <v>5</v>
      </c>
      <c r="AK272" s="2" t="s">
        <v>5</v>
      </c>
      <c r="AL272" s="2" t="s">
        <v>5</v>
      </c>
      <c r="AM272" s="2" t="s">
        <v>5</v>
      </c>
      <c r="AN272" s="20"/>
      <c r="AO272" s="12"/>
    </row>
    <row r="273" spans="1:41">
      <c r="A273" s="55" t="s">
        <v>278</v>
      </c>
      <c r="B273" s="12" t="s">
        <v>232</v>
      </c>
      <c r="C273" s="8" t="s">
        <v>220</v>
      </c>
      <c r="D273" s="8" t="s">
        <v>42</v>
      </c>
      <c r="E273" s="8" t="s">
        <v>221</v>
      </c>
      <c r="F273" s="11">
        <v>45974</v>
      </c>
      <c r="G273" s="8" t="s">
        <v>32</v>
      </c>
      <c r="H273" s="12" t="s">
        <v>18</v>
      </c>
      <c r="I273" s="7" t="s">
        <v>8</v>
      </c>
      <c r="J273" s="2" t="s">
        <v>5</v>
      </c>
      <c r="K273" s="2" t="s">
        <v>5</v>
      </c>
      <c r="L273" s="2" t="s">
        <v>5</v>
      </c>
      <c r="M273" s="2" t="s">
        <v>5</v>
      </c>
      <c r="N273" s="2" t="s">
        <v>5</v>
      </c>
      <c r="O273" s="2" t="s">
        <v>5</v>
      </c>
      <c r="P273" s="2" t="s">
        <v>5</v>
      </c>
      <c r="Q273" s="2" t="s">
        <v>5</v>
      </c>
      <c r="R273" s="2" t="s">
        <v>5</v>
      </c>
      <c r="S273" s="2" t="s">
        <v>5</v>
      </c>
      <c r="T273" s="2" t="s">
        <v>5</v>
      </c>
      <c r="U273" s="2" t="s">
        <v>5</v>
      </c>
      <c r="V273" s="2">
        <v>0.83333333333333337</v>
      </c>
      <c r="W273" s="2">
        <v>0.875</v>
      </c>
      <c r="X273" s="2">
        <v>0.10416666666666667</v>
      </c>
      <c r="Y273" s="2" t="s">
        <v>5</v>
      </c>
      <c r="Z273" s="2">
        <v>0.75</v>
      </c>
      <c r="AA273" s="2" t="s">
        <v>5</v>
      </c>
      <c r="AB273" s="2">
        <v>0.10416666666666667</v>
      </c>
      <c r="AC273" s="2">
        <v>1.0069444444444444</v>
      </c>
      <c r="AD273" s="2">
        <v>1.0138888888888888</v>
      </c>
      <c r="AE273" s="2">
        <v>0.94097222222222221</v>
      </c>
      <c r="AF273" s="2" t="s">
        <v>5</v>
      </c>
      <c r="AG273" s="2">
        <v>1.0222222222222224</v>
      </c>
      <c r="AH273" s="2">
        <v>0.75</v>
      </c>
      <c r="AI273" s="2" t="s">
        <v>5</v>
      </c>
      <c r="AJ273" s="2" t="s">
        <v>5</v>
      </c>
      <c r="AK273" s="2" t="s">
        <v>5</v>
      </c>
      <c r="AL273" s="2" t="s">
        <v>5</v>
      </c>
      <c r="AM273" s="2" t="s">
        <v>5</v>
      </c>
      <c r="AN273" s="20"/>
      <c r="AO273" s="12"/>
    </row>
    <row r="274" spans="1:41">
      <c r="A274" s="21" t="s">
        <v>278</v>
      </c>
      <c r="B274" s="21" t="s">
        <v>232</v>
      </c>
      <c r="C274" s="21" t="s">
        <v>220</v>
      </c>
      <c r="D274" s="21" t="s">
        <v>42</v>
      </c>
      <c r="E274" s="21" t="s">
        <v>221</v>
      </c>
      <c r="F274" s="22">
        <v>45974</v>
      </c>
      <c r="G274" s="21" t="s">
        <v>32</v>
      </c>
      <c r="H274" s="21" t="s">
        <v>18</v>
      </c>
      <c r="I274" s="25" t="s">
        <v>9</v>
      </c>
      <c r="J274" s="24" t="s">
        <v>5</v>
      </c>
      <c r="K274" s="24" t="s">
        <v>5</v>
      </c>
      <c r="L274" s="24" t="s">
        <v>5</v>
      </c>
      <c r="M274" s="24" t="s">
        <v>5</v>
      </c>
      <c r="N274" s="24" t="s">
        <v>5</v>
      </c>
      <c r="O274" s="24" t="s">
        <v>5</v>
      </c>
      <c r="P274" s="24" t="s">
        <v>5</v>
      </c>
      <c r="Q274" s="24" t="s">
        <v>5</v>
      </c>
      <c r="R274" s="24" t="s">
        <v>5</v>
      </c>
      <c r="S274" s="24" t="s">
        <v>5</v>
      </c>
      <c r="T274" s="24" t="s">
        <v>5</v>
      </c>
      <c r="U274" s="24" t="s">
        <v>5</v>
      </c>
      <c r="V274" s="24">
        <f t="shared" ref="V274:AH274" si="1019">IF(AND(ISBLANK(V272),ISBLANK(V273)),"A",IFERROR(+MOD(V273-V272,1),V271))</f>
        <v>0.45833333333333337</v>
      </c>
      <c r="W274" s="24">
        <f t="shared" ref="W274" si="1020">IF(AND(ISBLANK(W272),ISBLANK(W273)),"A",IFERROR(+MOD(W273-W272,1),W271))</f>
        <v>0.5</v>
      </c>
      <c r="X274" s="24">
        <f t="shared" si="1019"/>
        <v>0.71180555555555558</v>
      </c>
      <c r="Y274" s="24" t="s">
        <v>5</v>
      </c>
      <c r="Z274" s="24">
        <f t="shared" si="1019"/>
        <v>0.375</v>
      </c>
      <c r="AA274" s="24" t="s">
        <v>5</v>
      </c>
      <c r="AB274" s="24">
        <f t="shared" si="1019"/>
        <v>0.70486111111111116</v>
      </c>
      <c r="AC274" s="24">
        <f t="shared" si="1019"/>
        <v>0.63194444444444442</v>
      </c>
      <c r="AD274" s="24">
        <f t="shared" si="1019"/>
        <v>0.625</v>
      </c>
      <c r="AE274" s="24">
        <f t="shared" si="1019"/>
        <v>0.54166666666666663</v>
      </c>
      <c r="AF274" s="24" t="s">
        <v>5</v>
      </c>
      <c r="AG274" s="24">
        <f t="shared" si="1019"/>
        <v>0.63680555555555562</v>
      </c>
      <c r="AH274" s="24">
        <f t="shared" si="1019"/>
        <v>0.375</v>
      </c>
      <c r="AI274" s="24" t="s">
        <v>5</v>
      </c>
      <c r="AJ274" s="24" t="s">
        <v>5</v>
      </c>
      <c r="AK274" s="24" t="s">
        <v>5</v>
      </c>
      <c r="AL274" s="24" t="s">
        <v>5</v>
      </c>
      <c r="AM274" s="24" t="s">
        <v>5</v>
      </c>
      <c r="AN274" s="20"/>
      <c r="AO274" s="21"/>
    </row>
    <row r="275" spans="1:41">
      <c r="A275" s="8" t="s">
        <v>177</v>
      </c>
      <c r="B275" s="12" t="s">
        <v>232</v>
      </c>
      <c r="C275" s="8" t="s">
        <v>222</v>
      </c>
      <c r="D275" s="8" t="s">
        <v>42</v>
      </c>
      <c r="E275" s="8" t="s">
        <v>76</v>
      </c>
      <c r="F275" s="11">
        <v>45975</v>
      </c>
      <c r="G275" s="8" t="s">
        <v>32</v>
      </c>
      <c r="H275" s="12" t="s">
        <v>18</v>
      </c>
      <c r="I275" s="14" t="s">
        <v>4</v>
      </c>
      <c r="J275" s="2" t="s">
        <v>5</v>
      </c>
      <c r="K275" s="2" t="s">
        <v>5</v>
      </c>
      <c r="L275" s="2" t="s">
        <v>5</v>
      </c>
      <c r="M275" s="2" t="s">
        <v>5</v>
      </c>
      <c r="N275" s="2" t="s">
        <v>5</v>
      </c>
      <c r="O275" s="2" t="s">
        <v>5</v>
      </c>
      <c r="P275" s="2" t="s">
        <v>5</v>
      </c>
      <c r="Q275" s="2" t="s">
        <v>5</v>
      </c>
      <c r="R275" s="2" t="s">
        <v>5</v>
      </c>
      <c r="S275" s="2" t="s">
        <v>5</v>
      </c>
      <c r="T275" s="2" t="s">
        <v>5</v>
      </c>
      <c r="U275" s="2" t="s">
        <v>5</v>
      </c>
      <c r="V275" s="2" t="s">
        <v>5</v>
      </c>
      <c r="W275" s="2" t="s">
        <v>6</v>
      </c>
      <c r="X275" s="2" t="s">
        <v>6</v>
      </c>
      <c r="Y275" s="2" t="s">
        <v>5</v>
      </c>
      <c r="Z275" s="2" t="s">
        <v>5</v>
      </c>
      <c r="AA275" s="2" t="s">
        <v>5</v>
      </c>
      <c r="AB275" s="2" t="s">
        <v>5</v>
      </c>
      <c r="AC275" s="2" t="s">
        <v>5</v>
      </c>
      <c r="AD275" s="2" t="s">
        <v>5</v>
      </c>
      <c r="AE275" s="2" t="s">
        <v>5</v>
      </c>
      <c r="AF275" s="2" t="s">
        <v>5</v>
      </c>
      <c r="AG275" s="2" t="s">
        <v>5</v>
      </c>
      <c r="AH275" s="2" t="s">
        <v>5</v>
      </c>
      <c r="AI275" s="2" t="s">
        <v>5</v>
      </c>
      <c r="AJ275" s="2" t="s">
        <v>5</v>
      </c>
      <c r="AK275" s="2" t="s">
        <v>5</v>
      </c>
      <c r="AL275" s="2" t="s">
        <v>5</v>
      </c>
      <c r="AM275" s="2" t="s">
        <v>5</v>
      </c>
      <c r="AN275" s="20"/>
      <c r="AO275" s="12" t="s">
        <v>17</v>
      </c>
    </row>
    <row r="276" spans="1:41">
      <c r="A276" s="8" t="s">
        <v>177</v>
      </c>
      <c r="B276" s="12" t="s">
        <v>232</v>
      </c>
      <c r="C276" s="8" t="s">
        <v>222</v>
      </c>
      <c r="D276" s="8" t="s">
        <v>42</v>
      </c>
      <c r="E276" s="8" t="s">
        <v>76</v>
      </c>
      <c r="F276" s="11">
        <v>45975</v>
      </c>
      <c r="G276" s="8" t="s">
        <v>32</v>
      </c>
      <c r="H276" s="12" t="s">
        <v>18</v>
      </c>
      <c r="I276" s="7" t="s">
        <v>7</v>
      </c>
      <c r="J276" s="2" t="s">
        <v>5</v>
      </c>
      <c r="K276" s="2" t="s">
        <v>5</v>
      </c>
      <c r="L276" s="2" t="s">
        <v>5</v>
      </c>
      <c r="M276" s="2" t="s">
        <v>5</v>
      </c>
      <c r="N276" s="2" t="s">
        <v>5</v>
      </c>
      <c r="O276" s="2" t="s">
        <v>5</v>
      </c>
      <c r="P276" s="2" t="s">
        <v>5</v>
      </c>
      <c r="Q276" s="2" t="s">
        <v>5</v>
      </c>
      <c r="R276" s="2" t="s">
        <v>5</v>
      </c>
      <c r="S276" s="2" t="s">
        <v>5</v>
      </c>
      <c r="T276" s="2" t="s">
        <v>5</v>
      </c>
      <c r="U276" s="2" t="s">
        <v>5</v>
      </c>
      <c r="V276" s="2" t="s">
        <v>5</v>
      </c>
      <c r="W276" s="2">
        <v>0.45833333333333331</v>
      </c>
      <c r="X276" s="2">
        <v>0.3923611111111111</v>
      </c>
      <c r="Y276" s="2" t="s">
        <v>5</v>
      </c>
      <c r="Z276" s="2" t="s">
        <v>5</v>
      </c>
      <c r="AA276" s="2" t="s">
        <v>5</v>
      </c>
      <c r="AB276" s="2" t="s">
        <v>5</v>
      </c>
      <c r="AC276" s="2" t="s">
        <v>5</v>
      </c>
      <c r="AD276" s="2" t="s">
        <v>5</v>
      </c>
      <c r="AE276" s="2" t="s">
        <v>5</v>
      </c>
      <c r="AF276" s="2" t="s">
        <v>5</v>
      </c>
      <c r="AG276" s="2" t="s">
        <v>5</v>
      </c>
      <c r="AH276" s="2" t="s">
        <v>5</v>
      </c>
      <c r="AI276" s="2" t="s">
        <v>5</v>
      </c>
      <c r="AJ276" s="2" t="s">
        <v>5</v>
      </c>
      <c r="AK276" s="2" t="s">
        <v>5</v>
      </c>
      <c r="AL276" s="2" t="s">
        <v>5</v>
      </c>
      <c r="AM276" s="2" t="s">
        <v>5</v>
      </c>
      <c r="AN276" s="20"/>
      <c r="AO276" s="12"/>
    </row>
    <row r="277" spans="1:41">
      <c r="A277" s="8" t="s">
        <v>177</v>
      </c>
      <c r="B277" s="12" t="s">
        <v>232</v>
      </c>
      <c r="C277" s="8" t="s">
        <v>222</v>
      </c>
      <c r="D277" s="8" t="s">
        <v>42</v>
      </c>
      <c r="E277" s="8" t="s">
        <v>76</v>
      </c>
      <c r="F277" s="11">
        <v>45975</v>
      </c>
      <c r="G277" s="8" t="s">
        <v>32</v>
      </c>
      <c r="H277" s="12" t="s">
        <v>18</v>
      </c>
      <c r="I277" s="7" t="s">
        <v>8</v>
      </c>
      <c r="J277" s="2" t="s">
        <v>5</v>
      </c>
      <c r="K277" s="2" t="s">
        <v>5</v>
      </c>
      <c r="L277" s="2" t="s">
        <v>5</v>
      </c>
      <c r="M277" s="2" t="s">
        <v>5</v>
      </c>
      <c r="N277" s="2" t="s">
        <v>5</v>
      </c>
      <c r="O277" s="2" t="s">
        <v>5</v>
      </c>
      <c r="P277" s="2" t="s">
        <v>5</v>
      </c>
      <c r="Q277" s="2" t="s">
        <v>5</v>
      </c>
      <c r="R277" s="2" t="s">
        <v>5</v>
      </c>
      <c r="S277" s="2" t="s">
        <v>5</v>
      </c>
      <c r="T277" s="2" t="s">
        <v>5</v>
      </c>
      <c r="U277" s="2" t="s">
        <v>5</v>
      </c>
      <c r="V277" s="2" t="s">
        <v>5</v>
      </c>
      <c r="W277" s="2">
        <v>0.875</v>
      </c>
      <c r="X277" s="2">
        <v>0.75</v>
      </c>
      <c r="Y277" s="2" t="s">
        <v>5</v>
      </c>
      <c r="Z277" s="2" t="s">
        <v>5</v>
      </c>
      <c r="AA277" s="2" t="s">
        <v>5</v>
      </c>
      <c r="AB277" s="2" t="s">
        <v>5</v>
      </c>
      <c r="AC277" s="2" t="s">
        <v>5</v>
      </c>
      <c r="AD277" s="2" t="s">
        <v>5</v>
      </c>
      <c r="AE277" s="2" t="s">
        <v>5</v>
      </c>
      <c r="AF277" s="2" t="s">
        <v>5</v>
      </c>
      <c r="AG277" s="2" t="s">
        <v>5</v>
      </c>
      <c r="AH277" s="2" t="s">
        <v>5</v>
      </c>
      <c r="AI277" s="2" t="s">
        <v>5</v>
      </c>
      <c r="AJ277" s="2" t="s">
        <v>5</v>
      </c>
      <c r="AK277" s="2" t="s">
        <v>5</v>
      </c>
      <c r="AL277" s="2" t="s">
        <v>5</v>
      </c>
      <c r="AM277" s="2" t="s">
        <v>5</v>
      </c>
      <c r="AN277" s="20"/>
      <c r="AO277" s="12"/>
    </row>
    <row r="278" spans="1:41">
      <c r="A278" s="21" t="s">
        <v>177</v>
      </c>
      <c r="B278" s="21" t="s">
        <v>232</v>
      </c>
      <c r="C278" s="21" t="s">
        <v>222</v>
      </c>
      <c r="D278" s="21" t="s">
        <v>42</v>
      </c>
      <c r="E278" s="21" t="s">
        <v>76</v>
      </c>
      <c r="F278" s="22">
        <v>45975</v>
      </c>
      <c r="G278" s="21" t="s">
        <v>32</v>
      </c>
      <c r="H278" s="21" t="s">
        <v>18</v>
      </c>
      <c r="I278" s="25" t="s">
        <v>9</v>
      </c>
      <c r="J278" s="24" t="s">
        <v>5</v>
      </c>
      <c r="K278" s="24" t="s">
        <v>5</v>
      </c>
      <c r="L278" s="24" t="s">
        <v>5</v>
      </c>
      <c r="M278" s="24" t="s">
        <v>5</v>
      </c>
      <c r="N278" s="24" t="s">
        <v>5</v>
      </c>
      <c r="O278" s="24" t="s">
        <v>5</v>
      </c>
      <c r="P278" s="24" t="s">
        <v>5</v>
      </c>
      <c r="Q278" s="24" t="s">
        <v>5</v>
      </c>
      <c r="R278" s="24" t="s">
        <v>5</v>
      </c>
      <c r="S278" s="24" t="s">
        <v>5</v>
      </c>
      <c r="T278" s="24" t="s">
        <v>5</v>
      </c>
      <c r="U278" s="24" t="s">
        <v>5</v>
      </c>
      <c r="V278" s="24" t="s">
        <v>5</v>
      </c>
      <c r="W278" s="24">
        <f t="shared" ref="W278:X278" si="1021">IF(AND(ISBLANK(W276),ISBLANK(W277)),"A",IFERROR(+MOD(W277-W276,1),W275))</f>
        <v>0.41666666666666669</v>
      </c>
      <c r="X278" s="24">
        <f t="shared" si="1021"/>
        <v>0.3576388888888889</v>
      </c>
      <c r="Y278" s="24" t="s">
        <v>5</v>
      </c>
      <c r="Z278" s="24" t="s">
        <v>5</v>
      </c>
      <c r="AA278" s="24" t="s">
        <v>5</v>
      </c>
      <c r="AB278" s="24" t="s">
        <v>5</v>
      </c>
      <c r="AC278" s="24" t="s">
        <v>5</v>
      </c>
      <c r="AD278" s="24" t="s">
        <v>5</v>
      </c>
      <c r="AE278" s="24" t="s">
        <v>5</v>
      </c>
      <c r="AF278" s="24" t="s">
        <v>5</v>
      </c>
      <c r="AG278" s="24" t="s">
        <v>5</v>
      </c>
      <c r="AH278" s="24" t="s">
        <v>5</v>
      </c>
      <c r="AI278" s="24" t="s">
        <v>5</v>
      </c>
      <c r="AJ278" s="24" t="s">
        <v>5</v>
      </c>
      <c r="AK278" s="24" t="s">
        <v>5</v>
      </c>
      <c r="AL278" s="24" t="s">
        <v>5</v>
      </c>
      <c r="AM278" s="24" t="s">
        <v>5</v>
      </c>
      <c r="AN278" s="20"/>
      <c r="AO278" s="21"/>
    </row>
    <row r="279" spans="1:41">
      <c r="A279" s="55" t="s">
        <v>279</v>
      </c>
      <c r="B279" s="12" t="s">
        <v>232</v>
      </c>
      <c r="C279" s="8" t="s">
        <v>223</v>
      </c>
      <c r="D279" s="8" t="s">
        <v>42</v>
      </c>
      <c r="E279" s="8" t="s">
        <v>224</v>
      </c>
      <c r="F279" s="11">
        <v>45976</v>
      </c>
      <c r="G279" s="8" t="s">
        <v>32</v>
      </c>
      <c r="H279" s="12" t="s">
        <v>18</v>
      </c>
      <c r="I279" s="14" t="s">
        <v>4</v>
      </c>
      <c r="J279" s="2" t="s">
        <v>5</v>
      </c>
      <c r="K279" s="2" t="s">
        <v>5</v>
      </c>
      <c r="L279" s="2" t="s">
        <v>5</v>
      </c>
      <c r="M279" s="2" t="s">
        <v>5</v>
      </c>
      <c r="N279" s="2" t="s">
        <v>5</v>
      </c>
      <c r="O279" s="2" t="s">
        <v>5</v>
      </c>
      <c r="P279" s="2" t="s">
        <v>5</v>
      </c>
      <c r="Q279" s="2" t="s">
        <v>5</v>
      </c>
      <c r="R279" s="2" t="s">
        <v>5</v>
      </c>
      <c r="S279" s="2" t="s">
        <v>5</v>
      </c>
      <c r="T279" s="2" t="s">
        <v>5</v>
      </c>
      <c r="U279" s="2" t="s">
        <v>5</v>
      </c>
      <c r="V279" s="2" t="s">
        <v>5</v>
      </c>
      <c r="W279" s="2" t="s">
        <v>5</v>
      </c>
      <c r="X279" s="2" t="s">
        <v>6</v>
      </c>
      <c r="Y279" s="2" t="s">
        <v>5</v>
      </c>
      <c r="Z279" s="2" t="s">
        <v>6</v>
      </c>
      <c r="AA279" s="2" t="s">
        <v>6</v>
      </c>
      <c r="AB279" s="2" t="s">
        <v>6</v>
      </c>
      <c r="AC279" s="2" t="s">
        <v>6</v>
      </c>
      <c r="AD279" s="2" t="s">
        <v>6</v>
      </c>
      <c r="AE279" s="2" t="s">
        <v>6</v>
      </c>
      <c r="AF279" s="2" t="s">
        <v>6</v>
      </c>
      <c r="AG279" s="2" t="s">
        <v>6</v>
      </c>
      <c r="AH279" s="2" t="s">
        <v>6</v>
      </c>
      <c r="AI279" s="2" t="s">
        <v>6</v>
      </c>
      <c r="AJ279" s="2" t="s">
        <v>6</v>
      </c>
      <c r="AK279" s="2" t="s">
        <v>6</v>
      </c>
      <c r="AL279" s="2" t="s">
        <v>6</v>
      </c>
      <c r="AM279" s="2" t="s">
        <v>6</v>
      </c>
      <c r="AN279" s="20"/>
      <c r="AO279" s="12" t="s">
        <v>18</v>
      </c>
    </row>
    <row r="280" spans="1:41">
      <c r="A280" s="55" t="s">
        <v>279</v>
      </c>
      <c r="B280" s="12" t="s">
        <v>232</v>
      </c>
      <c r="C280" s="8" t="s">
        <v>223</v>
      </c>
      <c r="D280" s="8" t="s">
        <v>42</v>
      </c>
      <c r="E280" s="8" t="s">
        <v>224</v>
      </c>
      <c r="F280" s="11">
        <v>45976</v>
      </c>
      <c r="G280" s="8" t="s">
        <v>32</v>
      </c>
      <c r="H280" s="12" t="s">
        <v>18</v>
      </c>
      <c r="I280" s="7" t="s">
        <v>7</v>
      </c>
      <c r="J280" s="2" t="s">
        <v>5</v>
      </c>
      <c r="K280" s="2" t="s">
        <v>5</v>
      </c>
      <c r="L280" s="2" t="s">
        <v>5</v>
      </c>
      <c r="M280" s="2" t="s">
        <v>5</v>
      </c>
      <c r="N280" s="2" t="s">
        <v>5</v>
      </c>
      <c r="O280" s="2" t="s">
        <v>5</v>
      </c>
      <c r="P280" s="2" t="s">
        <v>5</v>
      </c>
      <c r="Q280" s="2" t="s">
        <v>5</v>
      </c>
      <c r="R280" s="2" t="s">
        <v>5</v>
      </c>
      <c r="S280" s="2" t="s">
        <v>5</v>
      </c>
      <c r="T280" s="2" t="s">
        <v>5</v>
      </c>
      <c r="U280" s="2" t="s">
        <v>5</v>
      </c>
      <c r="V280" s="2" t="s">
        <v>5</v>
      </c>
      <c r="W280" s="2" t="s">
        <v>5</v>
      </c>
      <c r="X280" s="2">
        <v>0.375</v>
      </c>
      <c r="Y280" s="2" t="s">
        <v>5</v>
      </c>
      <c r="Z280" s="2">
        <v>0.375</v>
      </c>
      <c r="AA280" s="2">
        <v>0.375</v>
      </c>
      <c r="AB280" s="2">
        <v>0.375</v>
      </c>
      <c r="AC280" s="2">
        <v>0.375</v>
      </c>
      <c r="AD280" s="2">
        <v>0.375</v>
      </c>
      <c r="AE280" s="2">
        <v>0.375</v>
      </c>
      <c r="AF280" s="2">
        <v>0.3888888888888889</v>
      </c>
      <c r="AG280" s="2">
        <v>0.38541666666666669</v>
      </c>
      <c r="AH280" s="2">
        <v>0.38194444444444442</v>
      </c>
      <c r="AI280" s="2">
        <v>0.375</v>
      </c>
      <c r="AJ280" s="2">
        <v>0.375</v>
      </c>
      <c r="AK280" s="2">
        <v>0.375</v>
      </c>
      <c r="AL280" s="2">
        <v>0.375</v>
      </c>
      <c r="AM280" s="2">
        <v>0.375</v>
      </c>
      <c r="AN280" s="20"/>
      <c r="AO280" s="12"/>
    </row>
    <row r="281" spans="1:41">
      <c r="A281" s="55" t="s">
        <v>279</v>
      </c>
      <c r="B281" s="12" t="s">
        <v>232</v>
      </c>
      <c r="C281" s="8" t="s">
        <v>223</v>
      </c>
      <c r="D281" s="8" t="s">
        <v>42</v>
      </c>
      <c r="E281" s="8" t="s">
        <v>224</v>
      </c>
      <c r="F281" s="11">
        <v>45976</v>
      </c>
      <c r="G281" s="8" t="s">
        <v>32</v>
      </c>
      <c r="H281" s="12" t="s">
        <v>18</v>
      </c>
      <c r="I281" s="7" t="s">
        <v>8</v>
      </c>
      <c r="J281" s="2" t="s">
        <v>5</v>
      </c>
      <c r="K281" s="2" t="s">
        <v>5</v>
      </c>
      <c r="L281" s="2" t="s">
        <v>5</v>
      </c>
      <c r="M281" s="2" t="s">
        <v>5</v>
      </c>
      <c r="N281" s="2" t="s">
        <v>5</v>
      </c>
      <c r="O281" s="2" t="s">
        <v>5</v>
      </c>
      <c r="P281" s="2" t="s">
        <v>5</v>
      </c>
      <c r="Q281" s="2" t="s">
        <v>5</v>
      </c>
      <c r="R281" s="2" t="s">
        <v>5</v>
      </c>
      <c r="S281" s="2" t="s">
        <v>5</v>
      </c>
      <c r="T281" s="2" t="s">
        <v>5</v>
      </c>
      <c r="U281" s="2" t="s">
        <v>5</v>
      </c>
      <c r="V281" s="2" t="s">
        <v>5</v>
      </c>
      <c r="W281" s="2" t="s">
        <v>5</v>
      </c>
      <c r="X281" s="2">
        <v>0.875</v>
      </c>
      <c r="Y281" s="2" t="s">
        <v>5</v>
      </c>
      <c r="Z281" s="2">
        <v>0.875</v>
      </c>
      <c r="AA281" s="2">
        <v>0.875</v>
      </c>
      <c r="AB281" s="2">
        <v>0.875</v>
      </c>
      <c r="AC281" s="2">
        <v>0.875</v>
      </c>
      <c r="AD281" s="2">
        <v>0.875</v>
      </c>
      <c r="AE281" s="2">
        <v>0.875</v>
      </c>
      <c r="AF281" s="2">
        <v>0.75</v>
      </c>
      <c r="AG281" s="2">
        <v>0.875</v>
      </c>
      <c r="AH281" s="2">
        <v>0.875</v>
      </c>
      <c r="AI281" s="2">
        <v>0.875</v>
      </c>
      <c r="AJ281" s="2">
        <v>0.875</v>
      </c>
      <c r="AK281" s="2">
        <v>0.875</v>
      </c>
      <c r="AL281" s="2">
        <v>0.875</v>
      </c>
      <c r="AM281" s="2">
        <v>0.75</v>
      </c>
      <c r="AN281" s="20"/>
      <c r="AO281" s="12"/>
    </row>
    <row r="282" spans="1:41">
      <c r="A282" s="21" t="s">
        <v>279</v>
      </c>
      <c r="B282" s="21" t="s">
        <v>232</v>
      </c>
      <c r="C282" s="21" t="s">
        <v>20</v>
      </c>
      <c r="D282" s="21" t="s">
        <v>42</v>
      </c>
      <c r="E282" s="21" t="s">
        <v>224</v>
      </c>
      <c r="F282" s="22">
        <v>45976</v>
      </c>
      <c r="G282" s="21" t="s">
        <v>32</v>
      </c>
      <c r="H282" s="21" t="s">
        <v>18</v>
      </c>
      <c r="I282" s="25" t="s">
        <v>9</v>
      </c>
      <c r="J282" s="24" t="s">
        <v>5</v>
      </c>
      <c r="K282" s="24" t="s">
        <v>5</v>
      </c>
      <c r="L282" s="24" t="s">
        <v>5</v>
      </c>
      <c r="M282" s="24" t="s">
        <v>5</v>
      </c>
      <c r="N282" s="24" t="s">
        <v>5</v>
      </c>
      <c r="O282" s="24" t="s">
        <v>5</v>
      </c>
      <c r="P282" s="24" t="s">
        <v>5</v>
      </c>
      <c r="Q282" s="24" t="s">
        <v>5</v>
      </c>
      <c r="R282" s="24" t="s">
        <v>5</v>
      </c>
      <c r="S282" s="24" t="s">
        <v>5</v>
      </c>
      <c r="T282" s="24" t="s">
        <v>5</v>
      </c>
      <c r="U282" s="24" t="s">
        <v>5</v>
      </c>
      <c r="V282" s="24" t="s">
        <v>5</v>
      </c>
      <c r="W282" s="24" t="s">
        <v>5</v>
      </c>
      <c r="X282" s="24">
        <f t="shared" ref="X282:AM282" si="1022">IF(AND(ISBLANK(X280),ISBLANK(X281)),"A",IFERROR(+MOD(X281-X280,1),X279))</f>
        <v>0.5</v>
      </c>
      <c r="Y282" s="24" t="s">
        <v>5</v>
      </c>
      <c r="Z282" s="24">
        <f t="shared" si="1022"/>
        <v>0.5</v>
      </c>
      <c r="AA282" s="24">
        <f t="shared" si="1022"/>
        <v>0.5</v>
      </c>
      <c r="AB282" s="24">
        <f t="shared" si="1022"/>
        <v>0.5</v>
      </c>
      <c r="AC282" s="24">
        <f t="shared" si="1022"/>
        <v>0.5</v>
      </c>
      <c r="AD282" s="24">
        <f t="shared" si="1022"/>
        <v>0.5</v>
      </c>
      <c r="AE282" s="24">
        <f t="shared" si="1022"/>
        <v>0.5</v>
      </c>
      <c r="AF282" s="24">
        <f t="shared" ref="AF282" si="1023">IF(AND(ISBLANK(AF280),ISBLANK(AF281)),"A",IFERROR(+MOD(AF281-AF280,1),AF279))</f>
        <v>0.3611111111111111</v>
      </c>
      <c r="AG282" s="24">
        <f t="shared" si="1022"/>
        <v>0.48958333333333331</v>
      </c>
      <c r="AH282" s="24">
        <f t="shared" si="1022"/>
        <v>0.49305555555555558</v>
      </c>
      <c r="AI282" s="24">
        <f t="shared" si="1022"/>
        <v>0.5</v>
      </c>
      <c r="AJ282" s="24">
        <f t="shared" si="1022"/>
        <v>0.5</v>
      </c>
      <c r="AK282" s="24">
        <f t="shared" si="1022"/>
        <v>0.5</v>
      </c>
      <c r="AL282" s="24">
        <f t="shared" si="1022"/>
        <v>0.5</v>
      </c>
      <c r="AM282" s="24">
        <f t="shared" si="1022"/>
        <v>0.375</v>
      </c>
      <c r="AN282" s="20"/>
      <c r="AO282" s="21"/>
    </row>
    <row r="283" spans="1:41">
      <c r="A283" s="57" t="s">
        <v>280</v>
      </c>
      <c r="B283" s="12" t="s">
        <v>231</v>
      </c>
      <c r="C283" s="8" t="s">
        <v>225</v>
      </c>
      <c r="D283" s="8" t="s">
        <v>42</v>
      </c>
      <c r="E283" s="8" t="s">
        <v>226</v>
      </c>
      <c r="F283" s="11">
        <v>45978</v>
      </c>
      <c r="G283" s="8" t="s">
        <v>32</v>
      </c>
      <c r="H283" s="12" t="s">
        <v>18</v>
      </c>
      <c r="I283" s="14" t="s">
        <v>4</v>
      </c>
      <c r="J283" s="2" t="s">
        <v>5</v>
      </c>
      <c r="K283" s="2" t="s">
        <v>5</v>
      </c>
      <c r="L283" s="2" t="s">
        <v>5</v>
      </c>
      <c r="M283" s="2" t="s">
        <v>5</v>
      </c>
      <c r="N283" s="2" t="s">
        <v>5</v>
      </c>
      <c r="O283" s="2" t="s">
        <v>5</v>
      </c>
      <c r="P283" s="2" t="s">
        <v>5</v>
      </c>
      <c r="Q283" s="2" t="s">
        <v>5</v>
      </c>
      <c r="R283" s="2" t="s">
        <v>5</v>
      </c>
      <c r="S283" s="2" t="s">
        <v>5</v>
      </c>
      <c r="T283" s="2" t="s">
        <v>5</v>
      </c>
      <c r="U283" s="2" t="s">
        <v>5</v>
      </c>
      <c r="V283" s="2" t="s">
        <v>5</v>
      </c>
      <c r="W283" s="2" t="s">
        <v>5</v>
      </c>
      <c r="X283" s="2" t="s">
        <v>5</v>
      </c>
      <c r="Y283" s="2" t="s">
        <v>5</v>
      </c>
      <c r="Z283" s="2" t="s">
        <v>6</v>
      </c>
      <c r="AA283" s="2" t="s">
        <v>6</v>
      </c>
      <c r="AB283" s="2" t="s">
        <v>6</v>
      </c>
      <c r="AC283" s="2" t="s">
        <v>6</v>
      </c>
      <c r="AD283" s="2" t="s">
        <v>6</v>
      </c>
      <c r="AE283" s="2" t="s">
        <v>6</v>
      </c>
      <c r="AF283" s="2" t="s">
        <v>5</v>
      </c>
      <c r="AG283" s="2" t="s">
        <v>6</v>
      </c>
      <c r="AH283" s="2" t="s">
        <v>6</v>
      </c>
      <c r="AI283" s="2" t="s">
        <v>6</v>
      </c>
      <c r="AJ283" s="2" t="s">
        <v>6</v>
      </c>
      <c r="AK283" s="2" t="s">
        <v>6</v>
      </c>
      <c r="AL283" s="2" t="s">
        <v>6</v>
      </c>
      <c r="AM283" s="2" t="s">
        <v>5</v>
      </c>
      <c r="AN283" s="20"/>
      <c r="AO283" s="12" t="s">
        <v>18</v>
      </c>
    </row>
    <row r="284" spans="1:41">
      <c r="A284" s="57" t="s">
        <v>280</v>
      </c>
      <c r="B284" s="12" t="s">
        <v>231</v>
      </c>
      <c r="C284" s="8" t="s">
        <v>225</v>
      </c>
      <c r="D284" s="8" t="s">
        <v>42</v>
      </c>
      <c r="E284" s="8" t="s">
        <v>226</v>
      </c>
      <c r="F284" s="11">
        <v>45978</v>
      </c>
      <c r="G284" s="8" t="s">
        <v>32</v>
      </c>
      <c r="H284" s="12" t="s">
        <v>18</v>
      </c>
      <c r="I284" s="7" t="s">
        <v>7</v>
      </c>
      <c r="J284" s="2" t="s">
        <v>5</v>
      </c>
      <c r="K284" s="2" t="s">
        <v>5</v>
      </c>
      <c r="L284" s="2" t="s">
        <v>5</v>
      </c>
      <c r="M284" s="2" t="s">
        <v>5</v>
      </c>
      <c r="N284" s="2" t="s">
        <v>5</v>
      </c>
      <c r="O284" s="2" t="s">
        <v>5</v>
      </c>
      <c r="P284" s="2" t="s">
        <v>5</v>
      </c>
      <c r="Q284" s="2" t="s">
        <v>5</v>
      </c>
      <c r="R284" s="2" t="s">
        <v>5</v>
      </c>
      <c r="S284" s="2" t="s">
        <v>5</v>
      </c>
      <c r="T284" s="2" t="s">
        <v>5</v>
      </c>
      <c r="U284" s="2" t="s">
        <v>5</v>
      </c>
      <c r="V284" s="2" t="s">
        <v>5</v>
      </c>
      <c r="W284" s="2" t="s">
        <v>5</v>
      </c>
      <c r="X284" s="2" t="s">
        <v>5</v>
      </c>
      <c r="Y284" s="2" t="s">
        <v>5</v>
      </c>
      <c r="Z284" s="2">
        <v>0.375</v>
      </c>
      <c r="AA284" s="2">
        <v>0.375</v>
      </c>
      <c r="AB284" s="2">
        <v>0.375</v>
      </c>
      <c r="AC284" s="2">
        <v>0.375</v>
      </c>
      <c r="AD284" s="2">
        <v>0.39930555555555558</v>
      </c>
      <c r="AE284" s="2">
        <v>0.39583333333333331</v>
      </c>
      <c r="AF284" s="2" t="s">
        <v>5</v>
      </c>
      <c r="AG284" s="2">
        <v>0.40277777777777773</v>
      </c>
      <c r="AH284" s="2">
        <v>0.40972222222222227</v>
      </c>
      <c r="AI284" s="2">
        <v>0.41319444444444442</v>
      </c>
      <c r="AJ284" s="2">
        <v>0.44097222222222227</v>
      </c>
      <c r="AK284" s="2">
        <v>0.40625</v>
      </c>
      <c r="AL284" s="2">
        <v>0.41666666666666669</v>
      </c>
      <c r="AM284" s="2" t="s">
        <v>5</v>
      </c>
      <c r="AN284" s="20"/>
      <c r="AO284" s="12"/>
    </row>
    <row r="285" spans="1:41">
      <c r="A285" s="57" t="s">
        <v>280</v>
      </c>
      <c r="B285" s="12" t="s">
        <v>231</v>
      </c>
      <c r="C285" s="8" t="s">
        <v>225</v>
      </c>
      <c r="D285" s="8" t="s">
        <v>42</v>
      </c>
      <c r="E285" s="8" t="s">
        <v>226</v>
      </c>
      <c r="F285" s="11">
        <v>45978</v>
      </c>
      <c r="G285" s="8" t="s">
        <v>32</v>
      </c>
      <c r="H285" s="12" t="s">
        <v>18</v>
      </c>
      <c r="I285" s="7" t="s">
        <v>8</v>
      </c>
      <c r="J285" s="2" t="s">
        <v>5</v>
      </c>
      <c r="K285" s="2" t="s">
        <v>5</v>
      </c>
      <c r="L285" s="2" t="s">
        <v>5</v>
      </c>
      <c r="M285" s="2" t="s">
        <v>5</v>
      </c>
      <c r="N285" s="2" t="s">
        <v>5</v>
      </c>
      <c r="O285" s="2" t="s">
        <v>5</v>
      </c>
      <c r="P285" s="2" t="s">
        <v>5</v>
      </c>
      <c r="Q285" s="2" t="s">
        <v>5</v>
      </c>
      <c r="R285" s="2" t="s">
        <v>5</v>
      </c>
      <c r="S285" s="2" t="s">
        <v>5</v>
      </c>
      <c r="T285" s="2" t="s">
        <v>5</v>
      </c>
      <c r="U285" s="2" t="s">
        <v>5</v>
      </c>
      <c r="V285" s="2" t="s">
        <v>5</v>
      </c>
      <c r="W285" s="2" t="s">
        <v>5</v>
      </c>
      <c r="X285" s="2" t="s">
        <v>5</v>
      </c>
      <c r="Y285" s="2" t="s">
        <v>5</v>
      </c>
      <c r="Z285" s="2">
        <v>0.75</v>
      </c>
      <c r="AA285" s="2">
        <v>0.875</v>
      </c>
      <c r="AB285" s="2">
        <v>0.875</v>
      </c>
      <c r="AC285" s="2">
        <v>0.75</v>
      </c>
      <c r="AD285" s="2">
        <v>0.93055555555555547</v>
      </c>
      <c r="AE285" s="2">
        <v>0.21527777777777779</v>
      </c>
      <c r="AF285" s="2" t="s">
        <v>5</v>
      </c>
      <c r="AG285" s="2">
        <v>0.96111111111111114</v>
      </c>
      <c r="AH285" s="2">
        <v>0.97222222222222221</v>
      </c>
      <c r="AI285" s="2">
        <v>4.5138888888888888E-2</v>
      </c>
      <c r="AJ285" s="2">
        <v>0.98958333333333337</v>
      </c>
      <c r="AK285" s="2">
        <v>1.0208333333333333</v>
      </c>
      <c r="AL285" s="2">
        <v>0.11805555555555557</v>
      </c>
      <c r="AM285" s="2" t="s">
        <v>5</v>
      </c>
      <c r="AN285" s="20"/>
      <c r="AO285" s="12"/>
    </row>
    <row r="286" spans="1:41">
      <c r="A286" s="21" t="s">
        <v>280</v>
      </c>
      <c r="B286" s="21" t="s">
        <v>231</v>
      </c>
      <c r="C286" s="21" t="s">
        <v>225</v>
      </c>
      <c r="D286" s="21" t="s">
        <v>42</v>
      </c>
      <c r="E286" s="21" t="s">
        <v>226</v>
      </c>
      <c r="F286" s="22">
        <v>45978</v>
      </c>
      <c r="G286" s="21" t="s">
        <v>32</v>
      </c>
      <c r="H286" s="21" t="s">
        <v>18</v>
      </c>
      <c r="I286" s="25" t="s">
        <v>9</v>
      </c>
      <c r="J286" s="24" t="s">
        <v>5</v>
      </c>
      <c r="K286" s="24" t="s">
        <v>5</v>
      </c>
      <c r="L286" s="24" t="s">
        <v>5</v>
      </c>
      <c r="M286" s="24" t="s">
        <v>5</v>
      </c>
      <c r="N286" s="24" t="s">
        <v>5</v>
      </c>
      <c r="O286" s="24" t="s">
        <v>5</v>
      </c>
      <c r="P286" s="24" t="s">
        <v>5</v>
      </c>
      <c r="Q286" s="24" t="s">
        <v>5</v>
      </c>
      <c r="R286" s="24" t="s">
        <v>5</v>
      </c>
      <c r="S286" s="24" t="s">
        <v>5</v>
      </c>
      <c r="T286" s="24" t="s">
        <v>5</v>
      </c>
      <c r="U286" s="24" t="s">
        <v>5</v>
      </c>
      <c r="V286" s="24" t="s">
        <v>5</v>
      </c>
      <c r="W286" s="24" t="s">
        <v>5</v>
      </c>
      <c r="X286" s="24" t="s">
        <v>5</v>
      </c>
      <c r="Y286" s="24" t="s">
        <v>5</v>
      </c>
      <c r="Z286" s="24">
        <f t="shared" ref="Z286:AM286" si="1024">IF(AND(ISBLANK(Z284),ISBLANK(Z285)),"A",IFERROR(+MOD(Z285-Z284,1),Z283))</f>
        <v>0.375</v>
      </c>
      <c r="AA286" s="24">
        <f t="shared" si="1024"/>
        <v>0.5</v>
      </c>
      <c r="AB286" s="24">
        <f t="shared" si="1024"/>
        <v>0.5</v>
      </c>
      <c r="AC286" s="24">
        <f t="shared" si="1024"/>
        <v>0.375</v>
      </c>
      <c r="AD286" s="24">
        <f t="shared" si="1024"/>
        <v>0.53124999999999989</v>
      </c>
      <c r="AE286" s="24">
        <f t="shared" si="1024"/>
        <v>0.81944444444444442</v>
      </c>
      <c r="AF286" s="24" t="s">
        <v>5</v>
      </c>
      <c r="AG286" s="24">
        <f t="shared" si="1024"/>
        <v>0.55833333333333335</v>
      </c>
      <c r="AH286" s="24">
        <f t="shared" si="1024"/>
        <v>0.5625</v>
      </c>
      <c r="AI286" s="24">
        <f t="shared" si="1024"/>
        <v>0.63194444444444442</v>
      </c>
      <c r="AJ286" s="24">
        <f t="shared" si="1024"/>
        <v>0.54861111111111116</v>
      </c>
      <c r="AK286" s="24">
        <f t="shared" si="1024"/>
        <v>0.61458333333333326</v>
      </c>
      <c r="AL286" s="24">
        <f t="shared" si="1024"/>
        <v>0.70138888888888884</v>
      </c>
      <c r="AM286" s="24" t="s">
        <v>5</v>
      </c>
      <c r="AN286" s="20"/>
      <c r="AO286" s="21"/>
    </row>
    <row r="287" spans="1:41">
      <c r="A287" s="57" t="s">
        <v>282</v>
      </c>
      <c r="B287" s="12"/>
      <c r="C287" s="8" t="s">
        <v>291</v>
      </c>
      <c r="D287" s="8" t="s">
        <v>42</v>
      </c>
      <c r="E287" s="8" t="s">
        <v>68</v>
      </c>
      <c r="F287" s="11">
        <v>45980</v>
      </c>
      <c r="G287" s="8" t="s">
        <v>32</v>
      </c>
      <c r="H287" s="12" t="s">
        <v>18</v>
      </c>
      <c r="I287" s="14" t="s">
        <v>4</v>
      </c>
      <c r="J287" s="2" t="s">
        <v>5</v>
      </c>
      <c r="K287" s="2" t="s">
        <v>5</v>
      </c>
      <c r="L287" s="2" t="s">
        <v>5</v>
      </c>
      <c r="M287" s="2" t="s">
        <v>5</v>
      </c>
      <c r="N287" s="2" t="s">
        <v>5</v>
      </c>
      <c r="O287" s="2" t="s">
        <v>5</v>
      </c>
      <c r="P287" s="2" t="s">
        <v>5</v>
      </c>
      <c r="Q287" s="2" t="s">
        <v>5</v>
      </c>
      <c r="R287" s="2" t="s">
        <v>5</v>
      </c>
      <c r="S287" s="2" t="s">
        <v>5</v>
      </c>
      <c r="T287" s="2" t="s">
        <v>5</v>
      </c>
      <c r="U287" s="2" t="s">
        <v>5</v>
      </c>
      <c r="V287" s="2" t="s">
        <v>5</v>
      </c>
      <c r="W287" s="2" t="s">
        <v>5</v>
      </c>
      <c r="X287" s="2" t="s">
        <v>5</v>
      </c>
      <c r="Y287" s="2" t="s">
        <v>5</v>
      </c>
      <c r="Z287" s="2" t="s">
        <v>5</v>
      </c>
      <c r="AA287" s="2" t="s">
        <v>5</v>
      </c>
      <c r="AB287" s="2" t="s">
        <v>6</v>
      </c>
      <c r="AC287" s="2" t="s">
        <v>6</v>
      </c>
      <c r="AD287" s="2" t="s">
        <v>6</v>
      </c>
      <c r="AE287" s="2" t="s">
        <v>6</v>
      </c>
      <c r="AF287" s="2" t="s">
        <v>5</v>
      </c>
      <c r="AG287" s="2" t="s">
        <v>6</v>
      </c>
      <c r="AH287" s="2" t="s">
        <v>5</v>
      </c>
      <c r="AI287" s="2" t="s">
        <v>5</v>
      </c>
      <c r="AJ287" s="2" t="s">
        <v>5</v>
      </c>
      <c r="AK287" s="2" t="s">
        <v>6</v>
      </c>
      <c r="AL287" s="2" t="s">
        <v>5</v>
      </c>
      <c r="AM287" s="2" t="s">
        <v>5</v>
      </c>
      <c r="AN287" s="20"/>
      <c r="AO287" s="12" t="s">
        <v>18</v>
      </c>
    </row>
    <row r="288" spans="1:41">
      <c r="A288" s="57" t="s">
        <v>282</v>
      </c>
      <c r="B288" s="12"/>
      <c r="C288" s="8" t="s">
        <v>291</v>
      </c>
      <c r="D288" s="8" t="s">
        <v>42</v>
      </c>
      <c r="E288" s="8" t="s">
        <v>68</v>
      </c>
      <c r="F288" s="11">
        <v>45980</v>
      </c>
      <c r="G288" s="8" t="s">
        <v>32</v>
      </c>
      <c r="H288" s="12" t="s">
        <v>18</v>
      </c>
      <c r="I288" s="7" t="s">
        <v>7</v>
      </c>
      <c r="J288" s="2" t="s">
        <v>5</v>
      </c>
      <c r="K288" s="2" t="s">
        <v>5</v>
      </c>
      <c r="L288" s="2" t="s">
        <v>5</v>
      </c>
      <c r="M288" s="2" t="s">
        <v>5</v>
      </c>
      <c r="N288" s="2" t="s">
        <v>5</v>
      </c>
      <c r="O288" s="2" t="s">
        <v>5</v>
      </c>
      <c r="P288" s="2" t="s">
        <v>5</v>
      </c>
      <c r="Q288" s="2" t="s">
        <v>5</v>
      </c>
      <c r="R288" s="2" t="s">
        <v>5</v>
      </c>
      <c r="S288" s="2" t="s">
        <v>5</v>
      </c>
      <c r="T288" s="2" t="s">
        <v>5</v>
      </c>
      <c r="U288" s="2" t="s">
        <v>5</v>
      </c>
      <c r="V288" s="2" t="s">
        <v>5</v>
      </c>
      <c r="W288" s="2" t="s">
        <v>5</v>
      </c>
      <c r="X288" s="2" t="s">
        <v>5</v>
      </c>
      <c r="Y288" s="2" t="s">
        <v>5</v>
      </c>
      <c r="Z288" s="2" t="s">
        <v>5</v>
      </c>
      <c r="AA288" s="2" t="s">
        <v>5</v>
      </c>
      <c r="AB288" s="2">
        <v>0.375</v>
      </c>
      <c r="AC288" s="2">
        <v>0.375</v>
      </c>
      <c r="AD288" s="2">
        <v>0.375</v>
      </c>
      <c r="AE288" s="2">
        <v>0.375</v>
      </c>
      <c r="AF288" s="2" t="s">
        <v>5</v>
      </c>
      <c r="AG288" s="2">
        <v>0.3888888888888889</v>
      </c>
      <c r="AH288" s="2" t="s">
        <v>5</v>
      </c>
      <c r="AI288" s="2" t="s">
        <v>5</v>
      </c>
      <c r="AJ288" s="2" t="s">
        <v>5</v>
      </c>
      <c r="AK288" s="2">
        <v>0.375</v>
      </c>
      <c r="AL288" s="2" t="s">
        <v>5</v>
      </c>
      <c r="AM288" s="2" t="s">
        <v>5</v>
      </c>
      <c r="AN288" s="20"/>
      <c r="AO288" s="12"/>
    </row>
    <row r="289" spans="1:41">
      <c r="A289" s="57" t="s">
        <v>282</v>
      </c>
      <c r="B289" s="12"/>
      <c r="C289" s="8" t="s">
        <v>291</v>
      </c>
      <c r="D289" s="8" t="s">
        <v>42</v>
      </c>
      <c r="E289" s="8" t="s">
        <v>68</v>
      </c>
      <c r="F289" s="11">
        <v>45980</v>
      </c>
      <c r="G289" s="8" t="s">
        <v>32</v>
      </c>
      <c r="H289" s="12" t="s">
        <v>18</v>
      </c>
      <c r="I289" s="7" t="s">
        <v>8</v>
      </c>
      <c r="J289" s="2" t="s">
        <v>5</v>
      </c>
      <c r="K289" s="2" t="s">
        <v>5</v>
      </c>
      <c r="L289" s="2" t="s">
        <v>5</v>
      </c>
      <c r="M289" s="2" t="s">
        <v>5</v>
      </c>
      <c r="N289" s="2" t="s">
        <v>5</v>
      </c>
      <c r="O289" s="2" t="s">
        <v>5</v>
      </c>
      <c r="P289" s="2" t="s">
        <v>5</v>
      </c>
      <c r="Q289" s="2" t="s">
        <v>5</v>
      </c>
      <c r="R289" s="2" t="s">
        <v>5</v>
      </c>
      <c r="S289" s="2" t="s">
        <v>5</v>
      </c>
      <c r="T289" s="2" t="s">
        <v>5</v>
      </c>
      <c r="U289" s="2" t="s">
        <v>5</v>
      </c>
      <c r="V289" s="2" t="s">
        <v>5</v>
      </c>
      <c r="W289" s="2" t="s">
        <v>5</v>
      </c>
      <c r="X289" s="2" t="s">
        <v>5</v>
      </c>
      <c r="Y289" s="2" t="s">
        <v>5</v>
      </c>
      <c r="Z289" s="2" t="s">
        <v>5</v>
      </c>
      <c r="AA289" s="2" t="s">
        <v>5</v>
      </c>
      <c r="AB289" s="2">
        <v>0.75</v>
      </c>
      <c r="AC289" s="2">
        <v>0.75</v>
      </c>
      <c r="AD289" s="2">
        <v>0.75</v>
      </c>
      <c r="AE289" s="2">
        <v>0.75</v>
      </c>
      <c r="AF289" s="2" t="s">
        <v>5</v>
      </c>
      <c r="AG289" s="2">
        <v>0.77083333333333337</v>
      </c>
      <c r="AH289" s="2" t="s">
        <v>5</v>
      </c>
      <c r="AI289" s="2" t="s">
        <v>5</v>
      </c>
      <c r="AJ289" s="2" t="s">
        <v>5</v>
      </c>
      <c r="AK289" s="2">
        <v>0.875</v>
      </c>
      <c r="AL289" s="2" t="s">
        <v>5</v>
      </c>
      <c r="AM289" s="2" t="s">
        <v>5</v>
      </c>
      <c r="AN289" s="20"/>
      <c r="AO289" s="12"/>
    </row>
    <row r="290" spans="1:41">
      <c r="A290" s="47" t="s">
        <v>282</v>
      </c>
      <c r="B290" s="21"/>
      <c r="C290" s="21" t="s">
        <v>291</v>
      </c>
      <c r="D290" s="21" t="s">
        <v>42</v>
      </c>
      <c r="E290" s="21" t="s">
        <v>68</v>
      </c>
      <c r="F290" s="22">
        <v>45980</v>
      </c>
      <c r="G290" s="21" t="s">
        <v>32</v>
      </c>
      <c r="H290" s="21" t="s">
        <v>18</v>
      </c>
      <c r="I290" s="25" t="s">
        <v>9</v>
      </c>
      <c r="J290" s="24" t="s">
        <v>5</v>
      </c>
      <c r="K290" s="24" t="s">
        <v>5</v>
      </c>
      <c r="L290" s="24" t="s">
        <v>5</v>
      </c>
      <c r="M290" s="24" t="s">
        <v>5</v>
      </c>
      <c r="N290" s="24" t="s">
        <v>5</v>
      </c>
      <c r="O290" s="24" t="s">
        <v>5</v>
      </c>
      <c r="P290" s="24" t="s">
        <v>5</v>
      </c>
      <c r="Q290" s="24" t="s">
        <v>5</v>
      </c>
      <c r="R290" s="24" t="s">
        <v>5</v>
      </c>
      <c r="S290" s="24" t="s">
        <v>5</v>
      </c>
      <c r="T290" s="24" t="s">
        <v>5</v>
      </c>
      <c r="U290" s="24" t="s">
        <v>5</v>
      </c>
      <c r="V290" s="24" t="s">
        <v>5</v>
      </c>
      <c r="W290" s="24" t="s">
        <v>5</v>
      </c>
      <c r="X290" s="24" t="s">
        <v>5</v>
      </c>
      <c r="Y290" s="24" t="s">
        <v>5</v>
      </c>
      <c r="Z290" s="24" t="s">
        <v>5</v>
      </c>
      <c r="AA290" s="24" t="s">
        <v>5</v>
      </c>
      <c r="AB290" s="24">
        <f t="shared" ref="AB290:AC290" si="1025">IF(AND(ISBLANK(AB288),ISBLANK(AB289)),"A",IFERROR(+MOD(AB289-AB288,1),AB287))</f>
        <v>0.375</v>
      </c>
      <c r="AC290" s="24">
        <f t="shared" si="1025"/>
        <v>0.375</v>
      </c>
      <c r="AD290" s="24">
        <f t="shared" ref="AD290:AE290" si="1026">IF(AND(ISBLANK(AD288),ISBLANK(AD289)),"A",IFERROR(+MOD(AD289-AD288,1),AD287))</f>
        <v>0.375</v>
      </c>
      <c r="AE290" s="24">
        <f t="shared" si="1026"/>
        <v>0.375</v>
      </c>
      <c r="AF290" s="24" t="s">
        <v>5</v>
      </c>
      <c r="AG290" s="24">
        <f t="shared" ref="AG290:AM290" si="1027">IF(AND(ISBLANK(AG288),ISBLANK(AG289)),"A",IFERROR(+MOD(AG289-AG288,1),AG287))</f>
        <v>0.38194444444444448</v>
      </c>
      <c r="AH290" s="24" t="s">
        <v>5</v>
      </c>
      <c r="AI290" s="24" t="s">
        <v>5</v>
      </c>
      <c r="AJ290" s="24" t="s">
        <v>5</v>
      </c>
      <c r="AK290" s="24">
        <f t="shared" si="1027"/>
        <v>0.5</v>
      </c>
      <c r="AL290" s="24" t="s">
        <v>5</v>
      </c>
      <c r="AM290" s="24" t="s">
        <v>5</v>
      </c>
      <c r="AN290" s="20"/>
      <c r="AO290" s="21"/>
    </row>
    <row r="291" spans="1:41">
      <c r="A291" s="57" t="s">
        <v>282</v>
      </c>
      <c r="B291" s="12"/>
      <c r="C291" s="8" t="s">
        <v>283</v>
      </c>
      <c r="D291" s="8" t="s">
        <v>42</v>
      </c>
      <c r="E291" s="8" t="s">
        <v>284</v>
      </c>
      <c r="F291" s="11">
        <v>45983</v>
      </c>
      <c r="G291" s="8" t="s">
        <v>32</v>
      </c>
      <c r="H291" s="12" t="s">
        <v>18</v>
      </c>
      <c r="I291" s="14" t="s">
        <v>4</v>
      </c>
      <c r="J291" s="2" t="s">
        <v>5</v>
      </c>
      <c r="K291" s="2" t="s">
        <v>5</v>
      </c>
      <c r="L291" s="2" t="s">
        <v>5</v>
      </c>
      <c r="M291" s="2" t="s">
        <v>5</v>
      </c>
      <c r="N291" s="2" t="s">
        <v>5</v>
      </c>
      <c r="O291" s="2" t="s">
        <v>5</v>
      </c>
      <c r="P291" s="2" t="s">
        <v>5</v>
      </c>
      <c r="Q291" s="2" t="s">
        <v>5</v>
      </c>
      <c r="R291" s="2" t="s">
        <v>5</v>
      </c>
      <c r="S291" s="2" t="s">
        <v>5</v>
      </c>
      <c r="T291" s="2" t="s">
        <v>5</v>
      </c>
      <c r="U291" s="2" t="s">
        <v>5</v>
      </c>
      <c r="V291" s="2" t="s">
        <v>5</v>
      </c>
      <c r="W291" s="2" t="s">
        <v>5</v>
      </c>
      <c r="X291" s="2" t="s">
        <v>5</v>
      </c>
      <c r="Y291" s="2" t="s">
        <v>5</v>
      </c>
      <c r="Z291" s="2" t="s">
        <v>5</v>
      </c>
      <c r="AA291" s="2" t="s">
        <v>5</v>
      </c>
      <c r="AB291" s="2" t="s">
        <v>5</v>
      </c>
      <c r="AC291" s="2" t="s">
        <v>5</v>
      </c>
      <c r="AD291" s="2" t="s">
        <v>5</v>
      </c>
      <c r="AE291" s="2" t="s">
        <v>6</v>
      </c>
      <c r="AF291" s="2" t="s">
        <v>5</v>
      </c>
      <c r="AG291" s="2" t="s">
        <v>6</v>
      </c>
      <c r="AH291" s="2" t="s">
        <v>6</v>
      </c>
      <c r="AI291" s="2" t="s">
        <v>6</v>
      </c>
      <c r="AJ291" s="2" t="s">
        <v>6</v>
      </c>
      <c r="AK291" s="2" t="s">
        <v>6</v>
      </c>
      <c r="AL291" s="2" t="s">
        <v>6</v>
      </c>
      <c r="AM291" s="2" t="s">
        <v>6</v>
      </c>
      <c r="AN291" s="20"/>
      <c r="AO291" s="12" t="s">
        <v>18</v>
      </c>
    </row>
    <row r="292" spans="1:41">
      <c r="A292" s="57" t="s">
        <v>282</v>
      </c>
      <c r="B292" s="12"/>
      <c r="C292" s="8" t="s">
        <v>283</v>
      </c>
      <c r="D292" s="8" t="s">
        <v>42</v>
      </c>
      <c r="E292" s="8" t="s">
        <v>284</v>
      </c>
      <c r="F292" s="11">
        <v>45983</v>
      </c>
      <c r="G292" s="8" t="s">
        <v>32</v>
      </c>
      <c r="H292" s="12" t="s">
        <v>18</v>
      </c>
      <c r="I292" s="7" t="s">
        <v>7</v>
      </c>
      <c r="J292" s="2" t="s">
        <v>5</v>
      </c>
      <c r="K292" s="2" t="s">
        <v>5</v>
      </c>
      <c r="L292" s="2" t="s">
        <v>5</v>
      </c>
      <c r="M292" s="2" t="s">
        <v>5</v>
      </c>
      <c r="N292" s="2" t="s">
        <v>5</v>
      </c>
      <c r="O292" s="2" t="s">
        <v>5</v>
      </c>
      <c r="P292" s="2" t="s">
        <v>5</v>
      </c>
      <c r="Q292" s="2" t="s">
        <v>5</v>
      </c>
      <c r="R292" s="2" t="s">
        <v>5</v>
      </c>
      <c r="S292" s="2" t="s">
        <v>5</v>
      </c>
      <c r="T292" s="2" t="s">
        <v>5</v>
      </c>
      <c r="U292" s="2" t="s">
        <v>5</v>
      </c>
      <c r="V292" s="2" t="s">
        <v>5</v>
      </c>
      <c r="W292" s="2" t="s">
        <v>5</v>
      </c>
      <c r="X292" s="2" t="s">
        <v>5</v>
      </c>
      <c r="Y292" s="2" t="s">
        <v>5</v>
      </c>
      <c r="Z292" s="2" t="s">
        <v>5</v>
      </c>
      <c r="AA292" s="2" t="s">
        <v>5</v>
      </c>
      <c r="AB292" s="2" t="s">
        <v>5</v>
      </c>
      <c r="AC292" s="2" t="s">
        <v>5</v>
      </c>
      <c r="AD292" s="2" t="s">
        <v>5</v>
      </c>
      <c r="AE292" s="2">
        <v>0.41666666666666669</v>
      </c>
      <c r="AF292" s="2" t="s">
        <v>5</v>
      </c>
      <c r="AG292" s="2">
        <v>0.375</v>
      </c>
      <c r="AH292" s="2">
        <v>0.4375</v>
      </c>
      <c r="AI292" s="2">
        <v>0.45833333333333331</v>
      </c>
      <c r="AJ292" s="2">
        <v>0.49305555555555558</v>
      </c>
      <c r="AK292" s="2">
        <v>0.45833333333333331</v>
      </c>
      <c r="AL292" s="2">
        <v>0.5</v>
      </c>
      <c r="AM292" s="2">
        <v>0.45833333333333331</v>
      </c>
      <c r="AN292" s="20"/>
      <c r="AO292" s="12"/>
    </row>
    <row r="293" spans="1:41">
      <c r="A293" s="57" t="s">
        <v>282</v>
      </c>
      <c r="B293" s="12"/>
      <c r="C293" s="8" t="s">
        <v>283</v>
      </c>
      <c r="D293" s="8" t="s">
        <v>42</v>
      </c>
      <c r="E293" s="8" t="s">
        <v>284</v>
      </c>
      <c r="F293" s="11">
        <v>45983</v>
      </c>
      <c r="G293" s="8" t="s">
        <v>32</v>
      </c>
      <c r="H293" s="12" t="s">
        <v>18</v>
      </c>
      <c r="I293" s="7" t="s">
        <v>8</v>
      </c>
      <c r="J293" s="2" t="s">
        <v>5</v>
      </c>
      <c r="K293" s="2" t="s">
        <v>5</v>
      </c>
      <c r="L293" s="2" t="s">
        <v>5</v>
      </c>
      <c r="M293" s="2" t="s">
        <v>5</v>
      </c>
      <c r="N293" s="2" t="s">
        <v>5</v>
      </c>
      <c r="O293" s="2" t="s">
        <v>5</v>
      </c>
      <c r="P293" s="2" t="s">
        <v>5</v>
      </c>
      <c r="Q293" s="2" t="s">
        <v>5</v>
      </c>
      <c r="R293" s="2" t="s">
        <v>5</v>
      </c>
      <c r="S293" s="2" t="s">
        <v>5</v>
      </c>
      <c r="T293" s="2" t="s">
        <v>5</v>
      </c>
      <c r="U293" s="2" t="s">
        <v>5</v>
      </c>
      <c r="V293" s="2" t="s">
        <v>5</v>
      </c>
      <c r="W293" s="2" t="s">
        <v>5</v>
      </c>
      <c r="X293" s="2" t="s">
        <v>5</v>
      </c>
      <c r="Y293" s="2" t="s">
        <v>5</v>
      </c>
      <c r="Z293" s="2" t="s">
        <v>5</v>
      </c>
      <c r="AA293" s="2" t="s">
        <v>5</v>
      </c>
      <c r="AB293" s="2" t="s">
        <v>5</v>
      </c>
      <c r="AC293" s="2" t="s">
        <v>5</v>
      </c>
      <c r="AD293" s="2" t="s">
        <v>5</v>
      </c>
      <c r="AE293" s="2">
        <v>5.2083333333333336E-2</v>
      </c>
      <c r="AF293" s="2" t="s">
        <v>5</v>
      </c>
      <c r="AG293" s="2">
        <v>0.10416666666666667</v>
      </c>
      <c r="AH293" s="2">
        <v>0.98958333333333337</v>
      </c>
      <c r="AI293" s="2">
        <v>0.125</v>
      </c>
      <c r="AJ293" s="2">
        <v>0.125</v>
      </c>
      <c r="AK293" s="2">
        <v>4.1666666666666664E-2</v>
      </c>
      <c r="AL293" s="2">
        <v>0.125</v>
      </c>
      <c r="AM293" s="2">
        <v>0.98611111111111116</v>
      </c>
      <c r="AN293" s="20"/>
      <c r="AO293" s="12"/>
    </row>
    <row r="294" spans="1:41">
      <c r="A294" s="47" t="s">
        <v>282</v>
      </c>
      <c r="B294" s="21"/>
      <c r="C294" s="21" t="s">
        <v>283</v>
      </c>
      <c r="D294" s="21" t="s">
        <v>42</v>
      </c>
      <c r="E294" s="21" t="s">
        <v>284</v>
      </c>
      <c r="F294" s="22">
        <v>45983</v>
      </c>
      <c r="G294" s="21" t="s">
        <v>32</v>
      </c>
      <c r="H294" s="21" t="s">
        <v>18</v>
      </c>
      <c r="I294" s="25" t="s">
        <v>9</v>
      </c>
      <c r="J294" s="24" t="s">
        <v>5</v>
      </c>
      <c r="K294" s="24" t="s">
        <v>5</v>
      </c>
      <c r="L294" s="24" t="s">
        <v>5</v>
      </c>
      <c r="M294" s="24" t="s">
        <v>5</v>
      </c>
      <c r="N294" s="24" t="s">
        <v>5</v>
      </c>
      <c r="O294" s="24" t="s">
        <v>5</v>
      </c>
      <c r="P294" s="24" t="s">
        <v>5</v>
      </c>
      <c r="Q294" s="24" t="s">
        <v>5</v>
      </c>
      <c r="R294" s="24" t="s">
        <v>5</v>
      </c>
      <c r="S294" s="24" t="s">
        <v>5</v>
      </c>
      <c r="T294" s="24" t="s">
        <v>5</v>
      </c>
      <c r="U294" s="24" t="s">
        <v>5</v>
      </c>
      <c r="V294" s="24" t="s">
        <v>5</v>
      </c>
      <c r="W294" s="24" t="s">
        <v>5</v>
      </c>
      <c r="X294" s="24" t="s">
        <v>5</v>
      </c>
      <c r="Y294" s="24" t="s">
        <v>5</v>
      </c>
      <c r="Z294" s="24" t="s">
        <v>5</v>
      </c>
      <c r="AA294" s="24" t="s">
        <v>5</v>
      </c>
      <c r="AB294" s="24" t="s">
        <v>5</v>
      </c>
      <c r="AC294" s="24" t="s">
        <v>5</v>
      </c>
      <c r="AD294" s="24" t="s">
        <v>5</v>
      </c>
      <c r="AE294" s="24">
        <f t="shared" ref="AE294" si="1028">IF(AND(ISBLANK(AE292),ISBLANK(AE293)),"A",IFERROR(+MOD(AE293-AE292,1),AE291))</f>
        <v>0.63541666666666663</v>
      </c>
      <c r="AF294" s="24" t="s">
        <v>5</v>
      </c>
      <c r="AG294" s="24">
        <f t="shared" ref="AG294:AM294" si="1029">IF(AND(ISBLANK(AG292),ISBLANK(AG293)),"A",IFERROR(+MOD(AG293-AG292,1),AG291))</f>
        <v>0.72916666666666674</v>
      </c>
      <c r="AH294" s="24">
        <f t="shared" si="1029"/>
        <v>0.55208333333333337</v>
      </c>
      <c r="AI294" s="24">
        <f t="shared" si="1029"/>
        <v>0.66666666666666674</v>
      </c>
      <c r="AJ294" s="24">
        <f t="shared" si="1029"/>
        <v>0.63194444444444442</v>
      </c>
      <c r="AK294" s="24">
        <f t="shared" ref="AK294:AL294" si="1030">IF(AND(ISBLANK(AK292),ISBLANK(AK293)),"A",IFERROR(+MOD(AK293-AK292,1),AK291))</f>
        <v>0.58333333333333337</v>
      </c>
      <c r="AL294" s="24">
        <f t="shared" si="1030"/>
        <v>0.625</v>
      </c>
      <c r="AM294" s="24">
        <f t="shared" si="1029"/>
        <v>0.5277777777777779</v>
      </c>
      <c r="AN294" s="20"/>
      <c r="AO294" s="21"/>
    </row>
    <row r="295" spans="1:41">
      <c r="A295" s="57" t="s">
        <v>282</v>
      </c>
      <c r="B295" s="12"/>
      <c r="C295" s="8" t="s">
        <v>285</v>
      </c>
      <c r="D295" s="8" t="s">
        <v>42</v>
      </c>
      <c r="E295" s="8" t="s">
        <v>286</v>
      </c>
      <c r="F295" s="11">
        <v>45985</v>
      </c>
      <c r="G295" s="8" t="s">
        <v>32</v>
      </c>
      <c r="H295" s="12" t="s">
        <v>18</v>
      </c>
      <c r="I295" s="14" t="s">
        <v>4</v>
      </c>
      <c r="J295" s="2" t="s">
        <v>5</v>
      </c>
      <c r="K295" s="2" t="s">
        <v>5</v>
      </c>
      <c r="L295" s="2" t="s">
        <v>5</v>
      </c>
      <c r="M295" s="2" t="s">
        <v>5</v>
      </c>
      <c r="N295" s="2" t="s">
        <v>5</v>
      </c>
      <c r="O295" s="2" t="s">
        <v>5</v>
      </c>
      <c r="P295" s="2" t="s">
        <v>5</v>
      </c>
      <c r="Q295" s="2" t="s">
        <v>5</v>
      </c>
      <c r="R295" s="2" t="s">
        <v>5</v>
      </c>
      <c r="S295" s="2" t="s">
        <v>5</v>
      </c>
      <c r="T295" s="2" t="s">
        <v>5</v>
      </c>
      <c r="U295" s="2" t="s">
        <v>5</v>
      </c>
      <c r="V295" s="2" t="s">
        <v>5</v>
      </c>
      <c r="W295" s="2" t="s">
        <v>5</v>
      </c>
      <c r="X295" s="2" t="s">
        <v>5</v>
      </c>
      <c r="Y295" s="2" t="s">
        <v>5</v>
      </c>
      <c r="Z295" s="2" t="s">
        <v>5</v>
      </c>
      <c r="AA295" s="2" t="s">
        <v>5</v>
      </c>
      <c r="AB295" s="2" t="s">
        <v>5</v>
      </c>
      <c r="AC295" s="2" t="s">
        <v>5</v>
      </c>
      <c r="AD295" s="2" t="s">
        <v>5</v>
      </c>
      <c r="AE295" s="2" t="s">
        <v>5</v>
      </c>
      <c r="AF295" s="2" t="s">
        <v>5</v>
      </c>
      <c r="AG295" s="2" t="s">
        <v>6</v>
      </c>
      <c r="AH295" s="2" t="s">
        <v>5</v>
      </c>
      <c r="AI295" s="2" t="s">
        <v>5</v>
      </c>
      <c r="AJ295" s="2" t="s">
        <v>5</v>
      </c>
      <c r="AK295" s="2" t="s">
        <v>5</v>
      </c>
      <c r="AL295" s="2" t="s">
        <v>5</v>
      </c>
      <c r="AM295" s="2" t="s">
        <v>5</v>
      </c>
      <c r="AN295" s="20"/>
      <c r="AO295" s="12" t="s">
        <v>17</v>
      </c>
    </row>
    <row r="296" spans="1:41">
      <c r="A296" s="57" t="s">
        <v>282</v>
      </c>
      <c r="B296" s="12"/>
      <c r="C296" s="8" t="s">
        <v>285</v>
      </c>
      <c r="D296" s="8" t="s">
        <v>42</v>
      </c>
      <c r="E296" s="8" t="s">
        <v>286</v>
      </c>
      <c r="F296" s="11">
        <v>45985</v>
      </c>
      <c r="G296" s="8" t="s">
        <v>32</v>
      </c>
      <c r="H296" s="12" t="s">
        <v>18</v>
      </c>
      <c r="I296" s="7" t="s">
        <v>7</v>
      </c>
      <c r="J296" s="2" t="s">
        <v>5</v>
      </c>
      <c r="K296" s="2" t="s">
        <v>5</v>
      </c>
      <c r="L296" s="2" t="s">
        <v>5</v>
      </c>
      <c r="M296" s="2" t="s">
        <v>5</v>
      </c>
      <c r="N296" s="2" t="s">
        <v>5</v>
      </c>
      <c r="O296" s="2" t="s">
        <v>5</v>
      </c>
      <c r="P296" s="2" t="s">
        <v>5</v>
      </c>
      <c r="Q296" s="2" t="s">
        <v>5</v>
      </c>
      <c r="R296" s="2" t="s">
        <v>5</v>
      </c>
      <c r="S296" s="2" t="s">
        <v>5</v>
      </c>
      <c r="T296" s="2" t="s">
        <v>5</v>
      </c>
      <c r="U296" s="2" t="s">
        <v>5</v>
      </c>
      <c r="V296" s="2" t="s">
        <v>5</v>
      </c>
      <c r="W296" s="2" t="s">
        <v>5</v>
      </c>
      <c r="X296" s="2" t="s">
        <v>5</v>
      </c>
      <c r="Y296" s="2" t="s">
        <v>5</v>
      </c>
      <c r="Z296" s="2" t="s">
        <v>5</v>
      </c>
      <c r="AA296" s="2" t="s">
        <v>5</v>
      </c>
      <c r="AB296" s="2" t="s">
        <v>5</v>
      </c>
      <c r="AC296" s="2" t="s">
        <v>5</v>
      </c>
      <c r="AD296" s="2" t="s">
        <v>5</v>
      </c>
      <c r="AE296" s="2" t="s">
        <v>5</v>
      </c>
      <c r="AF296" s="2" t="s">
        <v>5</v>
      </c>
      <c r="AG296" s="2">
        <v>0.375</v>
      </c>
      <c r="AH296" s="2" t="s">
        <v>5</v>
      </c>
      <c r="AI296" s="2" t="s">
        <v>5</v>
      </c>
      <c r="AJ296" s="2" t="s">
        <v>5</v>
      </c>
      <c r="AK296" s="2" t="s">
        <v>5</v>
      </c>
      <c r="AL296" s="2" t="s">
        <v>5</v>
      </c>
      <c r="AM296" s="2" t="s">
        <v>5</v>
      </c>
      <c r="AN296" s="20"/>
      <c r="AO296" s="12"/>
    </row>
    <row r="297" spans="1:41">
      <c r="A297" s="57" t="s">
        <v>282</v>
      </c>
      <c r="B297" s="12"/>
      <c r="C297" s="8" t="s">
        <v>285</v>
      </c>
      <c r="D297" s="8" t="s">
        <v>42</v>
      </c>
      <c r="E297" s="8" t="s">
        <v>286</v>
      </c>
      <c r="F297" s="11">
        <v>45985</v>
      </c>
      <c r="G297" s="8" t="s">
        <v>32</v>
      </c>
      <c r="H297" s="12" t="s">
        <v>18</v>
      </c>
      <c r="I297" s="7" t="s">
        <v>8</v>
      </c>
      <c r="J297" s="2" t="s">
        <v>5</v>
      </c>
      <c r="K297" s="2" t="s">
        <v>5</v>
      </c>
      <c r="L297" s="2" t="s">
        <v>5</v>
      </c>
      <c r="M297" s="2" t="s">
        <v>5</v>
      </c>
      <c r="N297" s="2" t="s">
        <v>5</v>
      </c>
      <c r="O297" s="2" t="s">
        <v>5</v>
      </c>
      <c r="P297" s="2" t="s">
        <v>5</v>
      </c>
      <c r="Q297" s="2" t="s">
        <v>5</v>
      </c>
      <c r="R297" s="2" t="s">
        <v>5</v>
      </c>
      <c r="S297" s="2" t="s">
        <v>5</v>
      </c>
      <c r="T297" s="2" t="s">
        <v>5</v>
      </c>
      <c r="U297" s="2" t="s">
        <v>5</v>
      </c>
      <c r="V297" s="2" t="s">
        <v>5</v>
      </c>
      <c r="W297" s="2" t="s">
        <v>5</v>
      </c>
      <c r="X297" s="2" t="s">
        <v>5</v>
      </c>
      <c r="Y297" s="2" t="s">
        <v>5</v>
      </c>
      <c r="Z297" s="2" t="s">
        <v>5</v>
      </c>
      <c r="AA297" s="2" t="s">
        <v>5</v>
      </c>
      <c r="AB297" s="2" t="s">
        <v>5</v>
      </c>
      <c r="AC297" s="2" t="s">
        <v>5</v>
      </c>
      <c r="AD297" s="2" t="s">
        <v>5</v>
      </c>
      <c r="AE297" s="2" t="s">
        <v>5</v>
      </c>
      <c r="AF297" s="2" t="s">
        <v>5</v>
      </c>
      <c r="AG297" s="2">
        <v>0.75</v>
      </c>
      <c r="AH297" s="2" t="s">
        <v>5</v>
      </c>
      <c r="AI297" s="2" t="s">
        <v>5</v>
      </c>
      <c r="AJ297" s="2" t="s">
        <v>5</v>
      </c>
      <c r="AK297" s="2" t="s">
        <v>5</v>
      </c>
      <c r="AL297" s="2" t="s">
        <v>5</v>
      </c>
      <c r="AM297" s="2" t="s">
        <v>5</v>
      </c>
      <c r="AN297" s="20"/>
      <c r="AO297" s="12"/>
    </row>
    <row r="298" spans="1:41">
      <c r="A298" s="47" t="s">
        <v>282</v>
      </c>
      <c r="B298" s="21"/>
      <c r="C298" s="21" t="s">
        <v>285</v>
      </c>
      <c r="D298" s="21" t="s">
        <v>42</v>
      </c>
      <c r="E298" s="21" t="s">
        <v>286</v>
      </c>
      <c r="F298" s="22">
        <v>45985</v>
      </c>
      <c r="G298" s="21" t="s">
        <v>32</v>
      </c>
      <c r="H298" s="21" t="s">
        <v>18</v>
      </c>
      <c r="I298" s="25" t="s">
        <v>9</v>
      </c>
      <c r="J298" s="24" t="s">
        <v>5</v>
      </c>
      <c r="K298" s="24" t="s">
        <v>5</v>
      </c>
      <c r="L298" s="24" t="s">
        <v>5</v>
      </c>
      <c r="M298" s="24" t="s">
        <v>5</v>
      </c>
      <c r="N298" s="24" t="s">
        <v>5</v>
      </c>
      <c r="O298" s="24" t="s">
        <v>5</v>
      </c>
      <c r="P298" s="24" t="s">
        <v>5</v>
      </c>
      <c r="Q298" s="24" t="s">
        <v>5</v>
      </c>
      <c r="R298" s="24" t="s">
        <v>5</v>
      </c>
      <c r="S298" s="24" t="s">
        <v>5</v>
      </c>
      <c r="T298" s="24" t="s">
        <v>5</v>
      </c>
      <c r="U298" s="24" t="s">
        <v>5</v>
      </c>
      <c r="V298" s="24" t="s">
        <v>5</v>
      </c>
      <c r="W298" s="24" t="s">
        <v>5</v>
      </c>
      <c r="X298" s="24" t="s">
        <v>5</v>
      </c>
      <c r="Y298" s="24" t="s">
        <v>5</v>
      </c>
      <c r="Z298" s="24" t="s">
        <v>5</v>
      </c>
      <c r="AA298" s="24" t="s">
        <v>5</v>
      </c>
      <c r="AB298" s="24" t="s">
        <v>5</v>
      </c>
      <c r="AC298" s="24" t="s">
        <v>5</v>
      </c>
      <c r="AD298" s="24" t="s">
        <v>5</v>
      </c>
      <c r="AE298" s="24" t="s">
        <v>5</v>
      </c>
      <c r="AF298" s="24" t="s">
        <v>5</v>
      </c>
      <c r="AG298" s="24">
        <f t="shared" ref="AG298:AM298" si="1031">IF(AND(ISBLANK(AG296),ISBLANK(AG297)),"A",IFERROR(+MOD(AG297-AG296,1),AG295))</f>
        <v>0.375</v>
      </c>
      <c r="AH298" s="24" t="s">
        <v>5</v>
      </c>
      <c r="AI298" s="24" t="s">
        <v>5</v>
      </c>
      <c r="AJ298" s="24" t="s">
        <v>5</v>
      </c>
      <c r="AK298" s="24" t="s">
        <v>5</v>
      </c>
      <c r="AL298" s="24" t="s">
        <v>5</v>
      </c>
      <c r="AM298" s="24" t="s">
        <v>5</v>
      </c>
      <c r="AN298" s="20"/>
      <c r="AO298" s="21"/>
    </row>
    <row r="299" spans="1:41">
      <c r="A299" s="57" t="s">
        <v>282</v>
      </c>
      <c r="B299" s="12"/>
      <c r="C299" s="8" t="s">
        <v>287</v>
      </c>
      <c r="D299" s="8" t="s">
        <v>42</v>
      </c>
      <c r="E299" s="8" t="s">
        <v>288</v>
      </c>
      <c r="F299" s="11">
        <v>45985</v>
      </c>
      <c r="G299" s="8" t="s">
        <v>32</v>
      </c>
      <c r="H299" s="12" t="s">
        <v>18</v>
      </c>
      <c r="I299" s="14" t="s">
        <v>4</v>
      </c>
      <c r="J299" s="2" t="s">
        <v>5</v>
      </c>
      <c r="K299" s="2" t="s">
        <v>5</v>
      </c>
      <c r="L299" s="2" t="s">
        <v>5</v>
      </c>
      <c r="M299" s="2" t="s">
        <v>5</v>
      </c>
      <c r="N299" s="2" t="s">
        <v>5</v>
      </c>
      <c r="O299" s="2" t="s">
        <v>5</v>
      </c>
      <c r="P299" s="2" t="s">
        <v>5</v>
      </c>
      <c r="Q299" s="2" t="s">
        <v>5</v>
      </c>
      <c r="R299" s="2" t="s">
        <v>5</v>
      </c>
      <c r="S299" s="2" t="s">
        <v>5</v>
      </c>
      <c r="T299" s="2" t="s">
        <v>5</v>
      </c>
      <c r="U299" s="2" t="s">
        <v>5</v>
      </c>
      <c r="V299" s="2" t="s">
        <v>5</v>
      </c>
      <c r="W299" s="2" t="s">
        <v>5</v>
      </c>
      <c r="X299" s="2" t="s">
        <v>5</v>
      </c>
      <c r="Y299" s="2" t="s">
        <v>5</v>
      </c>
      <c r="Z299" s="2" t="s">
        <v>5</v>
      </c>
      <c r="AA299" s="2" t="s">
        <v>5</v>
      </c>
      <c r="AB299" s="2" t="s">
        <v>5</v>
      </c>
      <c r="AC299" s="2" t="s">
        <v>5</v>
      </c>
      <c r="AD299" s="2" t="s">
        <v>5</v>
      </c>
      <c r="AE299" s="2" t="s">
        <v>5</v>
      </c>
      <c r="AF299" s="2" t="s">
        <v>5</v>
      </c>
      <c r="AG299" s="2" t="s">
        <v>6</v>
      </c>
      <c r="AH299" s="2" t="s">
        <v>5</v>
      </c>
      <c r="AI299" s="2" t="s">
        <v>5</v>
      </c>
      <c r="AJ299" s="2" t="s">
        <v>5</v>
      </c>
      <c r="AK299" s="2" t="s">
        <v>5</v>
      </c>
      <c r="AL299" s="2" t="s">
        <v>5</v>
      </c>
      <c r="AM299" s="2" t="s">
        <v>5</v>
      </c>
      <c r="AN299" s="20"/>
      <c r="AO299" s="12" t="s">
        <v>17</v>
      </c>
    </row>
    <row r="300" spans="1:41">
      <c r="A300" s="57" t="s">
        <v>282</v>
      </c>
      <c r="B300" s="12"/>
      <c r="C300" s="8" t="s">
        <v>287</v>
      </c>
      <c r="D300" s="8" t="s">
        <v>42</v>
      </c>
      <c r="E300" s="8" t="s">
        <v>288</v>
      </c>
      <c r="F300" s="11">
        <v>45985</v>
      </c>
      <c r="G300" s="8" t="s">
        <v>32</v>
      </c>
      <c r="H300" s="12" t="s">
        <v>18</v>
      </c>
      <c r="I300" s="7" t="s">
        <v>7</v>
      </c>
      <c r="J300" s="2" t="s">
        <v>5</v>
      </c>
      <c r="K300" s="2" t="s">
        <v>5</v>
      </c>
      <c r="L300" s="2" t="s">
        <v>5</v>
      </c>
      <c r="M300" s="2" t="s">
        <v>5</v>
      </c>
      <c r="N300" s="2" t="s">
        <v>5</v>
      </c>
      <c r="O300" s="2" t="s">
        <v>5</v>
      </c>
      <c r="P300" s="2" t="s">
        <v>5</v>
      </c>
      <c r="Q300" s="2" t="s">
        <v>5</v>
      </c>
      <c r="R300" s="2" t="s">
        <v>5</v>
      </c>
      <c r="S300" s="2" t="s">
        <v>5</v>
      </c>
      <c r="T300" s="2" t="s">
        <v>5</v>
      </c>
      <c r="U300" s="2" t="s">
        <v>5</v>
      </c>
      <c r="V300" s="2" t="s">
        <v>5</v>
      </c>
      <c r="W300" s="2" t="s">
        <v>5</v>
      </c>
      <c r="X300" s="2" t="s">
        <v>5</v>
      </c>
      <c r="Y300" s="2" t="s">
        <v>5</v>
      </c>
      <c r="Z300" s="2" t="s">
        <v>5</v>
      </c>
      <c r="AA300" s="2" t="s">
        <v>5</v>
      </c>
      <c r="AB300" s="2" t="s">
        <v>5</v>
      </c>
      <c r="AC300" s="2" t="s">
        <v>5</v>
      </c>
      <c r="AD300" s="2" t="s">
        <v>5</v>
      </c>
      <c r="AE300" s="2" t="s">
        <v>5</v>
      </c>
      <c r="AF300" s="2" t="s">
        <v>5</v>
      </c>
      <c r="AG300" s="2">
        <v>0.375</v>
      </c>
      <c r="AH300" s="2" t="s">
        <v>5</v>
      </c>
      <c r="AI300" s="2" t="s">
        <v>5</v>
      </c>
      <c r="AJ300" s="2" t="s">
        <v>5</v>
      </c>
      <c r="AK300" s="2" t="s">
        <v>5</v>
      </c>
      <c r="AL300" s="2" t="s">
        <v>5</v>
      </c>
      <c r="AM300" s="2" t="s">
        <v>5</v>
      </c>
      <c r="AN300" s="20"/>
      <c r="AO300" s="12"/>
    </row>
    <row r="301" spans="1:41">
      <c r="A301" s="57" t="s">
        <v>282</v>
      </c>
      <c r="B301" s="12"/>
      <c r="C301" s="8" t="s">
        <v>287</v>
      </c>
      <c r="D301" s="8" t="s">
        <v>42</v>
      </c>
      <c r="E301" s="8" t="s">
        <v>288</v>
      </c>
      <c r="F301" s="11">
        <v>45985</v>
      </c>
      <c r="G301" s="8" t="s">
        <v>32</v>
      </c>
      <c r="H301" s="12" t="s">
        <v>18</v>
      </c>
      <c r="I301" s="7" t="s">
        <v>8</v>
      </c>
      <c r="J301" s="2" t="s">
        <v>5</v>
      </c>
      <c r="K301" s="2" t="s">
        <v>5</v>
      </c>
      <c r="L301" s="2" t="s">
        <v>5</v>
      </c>
      <c r="M301" s="2" t="s">
        <v>5</v>
      </c>
      <c r="N301" s="2" t="s">
        <v>5</v>
      </c>
      <c r="O301" s="2" t="s">
        <v>5</v>
      </c>
      <c r="P301" s="2" t="s">
        <v>5</v>
      </c>
      <c r="Q301" s="2" t="s">
        <v>5</v>
      </c>
      <c r="R301" s="2" t="s">
        <v>5</v>
      </c>
      <c r="S301" s="2" t="s">
        <v>5</v>
      </c>
      <c r="T301" s="2" t="s">
        <v>5</v>
      </c>
      <c r="U301" s="2" t="s">
        <v>5</v>
      </c>
      <c r="V301" s="2" t="s">
        <v>5</v>
      </c>
      <c r="W301" s="2" t="s">
        <v>5</v>
      </c>
      <c r="X301" s="2" t="s">
        <v>5</v>
      </c>
      <c r="Y301" s="2" t="s">
        <v>5</v>
      </c>
      <c r="Z301" s="2" t="s">
        <v>5</v>
      </c>
      <c r="AA301" s="2" t="s">
        <v>5</v>
      </c>
      <c r="AB301" s="2" t="s">
        <v>5</v>
      </c>
      <c r="AC301" s="2" t="s">
        <v>5</v>
      </c>
      <c r="AD301" s="2" t="s">
        <v>5</v>
      </c>
      <c r="AE301" s="2" t="s">
        <v>5</v>
      </c>
      <c r="AF301" s="2" t="s">
        <v>5</v>
      </c>
      <c r="AG301" s="2">
        <v>0.75</v>
      </c>
      <c r="AH301" s="2" t="s">
        <v>5</v>
      </c>
      <c r="AI301" s="2" t="s">
        <v>5</v>
      </c>
      <c r="AJ301" s="2" t="s">
        <v>5</v>
      </c>
      <c r="AK301" s="2" t="s">
        <v>5</v>
      </c>
      <c r="AL301" s="2" t="s">
        <v>5</v>
      </c>
      <c r="AM301" s="2" t="s">
        <v>5</v>
      </c>
      <c r="AN301" s="20"/>
      <c r="AO301" s="12"/>
    </row>
    <row r="302" spans="1:41">
      <c r="A302" s="47" t="s">
        <v>282</v>
      </c>
      <c r="B302" s="21"/>
      <c r="C302" s="21" t="s">
        <v>287</v>
      </c>
      <c r="D302" s="21" t="s">
        <v>42</v>
      </c>
      <c r="E302" s="21" t="s">
        <v>288</v>
      </c>
      <c r="F302" s="22">
        <v>45985</v>
      </c>
      <c r="G302" s="21" t="s">
        <v>32</v>
      </c>
      <c r="H302" s="21" t="s">
        <v>18</v>
      </c>
      <c r="I302" s="25" t="s">
        <v>9</v>
      </c>
      <c r="J302" s="24" t="s">
        <v>5</v>
      </c>
      <c r="K302" s="24" t="s">
        <v>5</v>
      </c>
      <c r="L302" s="24" t="s">
        <v>5</v>
      </c>
      <c r="M302" s="24" t="s">
        <v>5</v>
      </c>
      <c r="N302" s="24" t="s">
        <v>5</v>
      </c>
      <c r="O302" s="24" t="s">
        <v>5</v>
      </c>
      <c r="P302" s="24" t="s">
        <v>5</v>
      </c>
      <c r="Q302" s="24" t="s">
        <v>5</v>
      </c>
      <c r="R302" s="24" t="s">
        <v>5</v>
      </c>
      <c r="S302" s="24" t="s">
        <v>5</v>
      </c>
      <c r="T302" s="24" t="s">
        <v>5</v>
      </c>
      <c r="U302" s="24" t="s">
        <v>5</v>
      </c>
      <c r="V302" s="24" t="s">
        <v>5</v>
      </c>
      <c r="W302" s="24" t="s">
        <v>5</v>
      </c>
      <c r="X302" s="24" t="s">
        <v>5</v>
      </c>
      <c r="Y302" s="24" t="s">
        <v>5</v>
      </c>
      <c r="Z302" s="24" t="s">
        <v>5</v>
      </c>
      <c r="AA302" s="24" t="s">
        <v>5</v>
      </c>
      <c r="AB302" s="24" t="s">
        <v>5</v>
      </c>
      <c r="AC302" s="24" t="s">
        <v>5</v>
      </c>
      <c r="AD302" s="24" t="s">
        <v>5</v>
      </c>
      <c r="AE302" s="24" t="s">
        <v>5</v>
      </c>
      <c r="AF302" s="24" t="s">
        <v>5</v>
      </c>
      <c r="AG302" s="24">
        <f t="shared" ref="AG302:AM302" si="1032">IF(AND(ISBLANK(AG300),ISBLANK(AG301)),"A",IFERROR(+MOD(AG301-AG300,1),AG299))</f>
        <v>0.375</v>
      </c>
      <c r="AH302" s="24" t="s">
        <v>5</v>
      </c>
      <c r="AI302" s="24" t="s">
        <v>5</v>
      </c>
      <c r="AJ302" s="24" t="s">
        <v>5</v>
      </c>
      <c r="AK302" s="24" t="s">
        <v>5</v>
      </c>
      <c r="AL302" s="24" t="s">
        <v>5</v>
      </c>
      <c r="AM302" s="24" t="s">
        <v>5</v>
      </c>
      <c r="AN302" s="20"/>
      <c r="AO302" s="21"/>
    </row>
    <row r="303" spans="1:41">
      <c r="A303" s="57" t="s">
        <v>282</v>
      </c>
      <c r="B303" s="12"/>
      <c r="C303" s="8" t="s">
        <v>216</v>
      </c>
      <c r="D303" s="8" t="s">
        <v>41</v>
      </c>
      <c r="E303" s="8"/>
      <c r="F303" s="11">
        <v>45985</v>
      </c>
      <c r="G303" s="8" t="s">
        <v>96</v>
      </c>
      <c r="H303" s="12" t="s">
        <v>18</v>
      </c>
      <c r="I303" s="14" t="s">
        <v>4</v>
      </c>
      <c r="J303" s="2" t="s">
        <v>5</v>
      </c>
      <c r="K303" s="2" t="s">
        <v>5</v>
      </c>
      <c r="L303" s="2" t="s">
        <v>5</v>
      </c>
      <c r="M303" s="2" t="s">
        <v>5</v>
      </c>
      <c r="N303" s="2" t="s">
        <v>5</v>
      </c>
      <c r="O303" s="2" t="s">
        <v>5</v>
      </c>
      <c r="P303" s="2" t="s">
        <v>5</v>
      </c>
      <c r="Q303" s="2" t="s">
        <v>5</v>
      </c>
      <c r="R303" s="2" t="s">
        <v>5</v>
      </c>
      <c r="S303" s="2" t="s">
        <v>5</v>
      </c>
      <c r="T303" s="2" t="s">
        <v>5</v>
      </c>
      <c r="U303" s="2" t="s">
        <v>5</v>
      </c>
      <c r="V303" s="2" t="s">
        <v>5</v>
      </c>
      <c r="W303" s="2" t="s">
        <v>5</v>
      </c>
      <c r="X303" s="2" t="s">
        <v>5</v>
      </c>
      <c r="Y303" s="2" t="s">
        <v>5</v>
      </c>
      <c r="Z303" s="2" t="s">
        <v>5</v>
      </c>
      <c r="AA303" s="2" t="s">
        <v>5</v>
      </c>
      <c r="AB303" s="2" t="s">
        <v>5</v>
      </c>
      <c r="AC303" s="2" t="s">
        <v>5</v>
      </c>
      <c r="AD303" s="2" t="s">
        <v>5</v>
      </c>
      <c r="AE303" s="2" t="s">
        <v>5</v>
      </c>
      <c r="AF303" s="2" t="s">
        <v>5</v>
      </c>
      <c r="AG303" s="2" t="s">
        <v>6</v>
      </c>
      <c r="AH303" s="2" t="s">
        <v>6</v>
      </c>
      <c r="AI303" s="2" t="s">
        <v>6</v>
      </c>
      <c r="AJ303" s="2" t="s">
        <v>6</v>
      </c>
      <c r="AK303" s="2" t="s">
        <v>6</v>
      </c>
      <c r="AL303" s="2" t="s">
        <v>6</v>
      </c>
      <c r="AM303" s="2" t="s">
        <v>5</v>
      </c>
      <c r="AN303" s="20"/>
      <c r="AO303" s="12" t="s">
        <v>18</v>
      </c>
    </row>
    <row r="304" spans="1:41">
      <c r="A304" s="57" t="s">
        <v>282</v>
      </c>
      <c r="B304" s="12"/>
      <c r="C304" s="8" t="s">
        <v>216</v>
      </c>
      <c r="D304" s="8" t="s">
        <v>41</v>
      </c>
      <c r="E304" s="8"/>
      <c r="F304" s="11">
        <v>45985</v>
      </c>
      <c r="G304" s="8" t="s">
        <v>96</v>
      </c>
      <c r="H304" s="12" t="s">
        <v>18</v>
      </c>
      <c r="I304" s="7" t="s">
        <v>7</v>
      </c>
      <c r="J304" s="2" t="s">
        <v>5</v>
      </c>
      <c r="K304" s="2" t="s">
        <v>5</v>
      </c>
      <c r="L304" s="2" t="s">
        <v>5</v>
      </c>
      <c r="M304" s="2" t="s">
        <v>5</v>
      </c>
      <c r="N304" s="2" t="s">
        <v>5</v>
      </c>
      <c r="O304" s="2" t="s">
        <v>5</v>
      </c>
      <c r="P304" s="2" t="s">
        <v>5</v>
      </c>
      <c r="Q304" s="2" t="s">
        <v>5</v>
      </c>
      <c r="R304" s="2" t="s">
        <v>5</v>
      </c>
      <c r="S304" s="2" t="s">
        <v>5</v>
      </c>
      <c r="T304" s="2" t="s">
        <v>5</v>
      </c>
      <c r="U304" s="2" t="s">
        <v>5</v>
      </c>
      <c r="V304" s="2" t="s">
        <v>5</v>
      </c>
      <c r="W304" s="2" t="s">
        <v>5</v>
      </c>
      <c r="X304" s="2" t="s">
        <v>5</v>
      </c>
      <c r="Y304" s="2" t="s">
        <v>5</v>
      </c>
      <c r="Z304" s="2" t="s">
        <v>5</v>
      </c>
      <c r="AA304" s="2" t="s">
        <v>5</v>
      </c>
      <c r="AB304" s="2" t="s">
        <v>5</v>
      </c>
      <c r="AC304" s="2" t="s">
        <v>5</v>
      </c>
      <c r="AD304" s="2" t="s">
        <v>5</v>
      </c>
      <c r="AE304" s="2" t="s">
        <v>5</v>
      </c>
      <c r="AF304" s="2" t="s">
        <v>5</v>
      </c>
      <c r="AG304" s="2">
        <v>0.41666666666666669</v>
      </c>
      <c r="AH304" s="2">
        <v>0.40625</v>
      </c>
      <c r="AI304" s="2">
        <v>0.39930555555555558</v>
      </c>
      <c r="AJ304" s="2">
        <v>0.41666666666666669</v>
      </c>
      <c r="AK304" s="2">
        <v>0.39583333333333331</v>
      </c>
      <c r="AL304" s="2">
        <v>0.4680555555555555</v>
      </c>
      <c r="AM304" s="2" t="s">
        <v>5</v>
      </c>
      <c r="AN304" s="20"/>
      <c r="AO304" s="12"/>
    </row>
    <row r="305" spans="1:41">
      <c r="A305" s="57" t="s">
        <v>282</v>
      </c>
      <c r="B305" s="12"/>
      <c r="C305" s="8" t="s">
        <v>216</v>
      </c>
      <c r="D305" s="8" t="s">
        <v>41</v>
      </c>
      <c r="E305" s="8"/>
      <c r="F305" s="11">
        <v>45985</v>
      </c>
      <c r="G305" s="8" t="s">
        <v>96</v>
      </c>
      <c r="H305" s="12" t="s">
        <v>18</v>
      </c>
      <c r="I305" s="7" t="s">
        <v>8</v>
      </c>
      <c r="J305" s="2" t="s">
        <v>5</v>
      </c>
      <c r="K305" s="2" t="s">
        <v>5</v>
      </c>
      <c r="L305" s="2" t="s">
        <v>5</v>
      </c>
      <c r="M305" s="2" t="s">
        <v>5</v>
      </c>
      <c r="N305" s="2" t="s">
        <v>5</v>
      </c>
      <c r="O305" s="2" t="s">
        <v>5</v>
      </c>
      <c r="P305" s="2" t="s">
        <v>5</v>
      </c>
      <c r="Q305" s="2" t="s">
        <v>5</v>
      </c>
      <c r="R305" s="2" t="s">
        <v>5</v>
      </c>
      <c r="S305" s="2" t="s">
        <v>5</v>
      </c>
      <c r="T305" s="2" t="s">
        <v>5</v>
      </c>
      <c r="U305" s="2" t="s">
        <v>5</v>
      </c>
      <c r="V305" s="2" t="s">
        <v>5</v>
      </c>
      <c r="W305" s="2" t="s">
        <v>5</v>
      </c>
      <c r="X305" s="2" t="s">
        <v>5</v>
      </c>
      <c r="Y305" s="2" t="s">
        <v>5</v>
      </c>
      <c r="Z305" s="2" t="s">
        <v>5</v>
      </c>
      <c r="AA305" s="2" t="s">
        <v>5</v>
      </c>
      <c r="AB305" s="2" t="s">
        <v>5</v>
      </c>
      <c r="AC305" s="2" t="s">
        <v>5</v>
      </c>
      <c r="AD305" s="2" t="s">
        <v>5</v>
      </c>
      <c r="AE305" s="2" t="s">
        <v>5</v>
      </c>
      <c r="AF305" s="2" t="s">
        <v>5</v>
      </c>
      <c r="AG305" s="2">
        <v>0.28263888888888888</v>
      </c>
      <c r="AH305" s="2">
        <v>0.75</v>
      </c>
      <c r="AI305" s="2">
        <v>0.75</v>
      </c>
      <c r="AJ305" s="2">
        <v>0.75</v>
      </c>
      <c r="AK305" s="2">
        <v>0.75</v>
      </c>
      <c r="AL305" s="2">
        <v>0.75</v>
      </c>
      <c r="AM305" s="2" t="s">
        <v>5</v>
      </c>
      <c r="AN305" s="20"/>
      <c r="AO305" s="12"/>
    </row>
    <row r="306" spans="1:41">
      <c r="A306" s="47" t="s">
        <v>282</v>
      </c>
      <c r="B306" s="21"/>
      <c r="C306" s="21" t="s">
        <v>216</v>
      </c>
      <c r="D306" s="21" t="s">
        <v>41</v>
      </c>
      <c r="E306" s="21"/>
      <c r="F306" s="22">
        <v>45985</v>
      </c>
      <c r="G306" s="21" t="s">
        <v>96</v>
      </c>
      <c r="H306" s="21" t="s">
        <v>18</v>
      </c>
      <c r="I306" s="25" t="s">
        <v>9</v>
      </c>
      <c r="J306" s="24" t="s">
        <v>5</v>
      </c>
      <c r="K306" s="24" t="s">
        <v>5</v>
      </c>
      <c r="L306" s="24" t="s">
        <v>5</v>
      </c>
      <c r="M306" s="24" t="s">
        <v>5</v>
      </c>
      <c r="N306" s="24" t="s">
        <v>5</v>
      </c>
      <c r="O306" s="24" t="s">
        <v>5</v>
      </c>
      <c r="P306" s="24" t="s">
        <v>5</v>
      </c>
      <c r="Q306" s="24" t="s">
        <v>5</v>
      </c>
      <c r="R306" s="24" t="s">
        <v>5</v>
      </c>
      <c r="S306" s="24" t="s">
        <v>5</v>
      </c>
      <c r="T306" s="24" t="s">
        <v>5</v>
      </c>
      <c r="U306" s="24" t="s">
        <v>5</v>
      </c>
      <c r="V306" s="24" t="s">
        <v>5</v>
      </c>
      <c r="W306" s="24" t="s">
        <v>5</v>
      </c>
      <c r="X306" s="24" t="s">
        <v>5</v>
      </c>
      <c r="Y306" s="24" t="s">
        <v>5</v>
      </c>
      <c r="Z306" s="24" t="s">
        <v>5</v>
      </c>
      <c r="AA306" s="24" t="s">
        <v>5</v>
      </c>
      <c r="AB306" s="24" t="s">
        <v>5</v>
      </c>
      <c r="AC306" s="24" t="s">
        <v>5</v>
      </c>
      <c r="AD306" s="24" t="s">
        <v>5</v>
      </c>
      <c r="AE306" s="24" t="s">
        <v>5</v>
      </c>
      <c r="AF306" s="24" t="s">
        <v>5</v>
      </c>
      <c r="AG306" s="24">
        <f t="shared" ref="AG306:AL306" si="1033">IF(AND(ISBLANK(AG304),ISBLANK(AG305)),"A",IFERROR(+MOD(AG305-AG304,1),AG303))</f>
        <v>0.86597222222222214</v>
      </c>
      <c r="AH306" s="24">
        <f t="shared" si="1033"/>
        <v>0.34375</v>
      </c>
      <c r="AI306" s="24">
        <f t="shared" si="1033"/>
        <v>0.35069444444444442</v>
      </c>
      <c r="AJ306" s="24">
        <f t="shared" si="1033"/>
        <v>0.33333333333333331</v>
      </c>
      <c r="AK306" s="24">
        <f t="shared" si="1033"/>
        <v>0.35416666666666669</v>
      </c>
      <c r="AL306" s="24">
        <f t="shared" si="1033"/>
        <v>0.2819444444444445</v>
      </c>
      <c r="AM306" s="24" t="s">
        <v>5</v>
      </c>
      <c r="AN306" s="20"/>
      <c r="AO306" s="21"/>
    </row>
    <row r="307" spans="1:41">
      <c r="A307" s="57" t="s">
        <v>282</v>
      </c>
      <c r="B307" s="31"/>
      <c r="C307" s="8" t="s">
        <v>12</v>
      </c>
      <c r="D307" s="8" t="s">
        <v>10</v>
      </c>
      <c r="E307" s="8" t="s">
        <v>61</v>
      </c>
      <c r="F307" s="11">
        <v>45987</v>
      </c>
      <c r="G307" s="8" t="s">
        <v>32</v>
      </c>
      <c r="H307" s="12" t="s">
        <v>18</v>
      </c>
      <c r="I307" s="14" t="s">
        <v>4</v>
      </c>
      <c r="J307" s="2" t="s">
        <v>5</v>
      </c>
      <c r="K307" s="2" t="s">
        <v>5</v>
      </c>
      <c r="L307" s="2" t="s">
        <v>5</v>
      </c>
      <c r="M307" s="2" t="s">
        <v>5</v>
      </c>
      <c r="N307" s="2" t="s">
        <v>5</v>
      </c>
      <c r="O307" s="2" t="s">
        <v>5</v>
      </c>
      <c r="P307" s="2" t="s">
        <v>5</v>
      </c>
      <c r="Q307" s="2" t="s">
        <v>5</v>
      </c>
      <c r="R307" s="2" t="s">
        <v>5</v>
      </c>
      <c r="S307" s="2" t="s">
        <v>5</v>
      </c>
      <c r="T307" s="2" t="s">
        <v>5</v>
      </c>
      <c r="U307" s="2" t="s">
        <v>5</v>
      </c>
      <c r="V307" s="2" t="s">
        <v>5</v>
      </c>
      <c r="W307" s="2" t="s">
        <v>5</v>
      </c>
      <c r="X307" s="2" t="s">
        <v>5</v>
      </c>
      <c r="Y307" s="2" t="s">
        <v>5</v>
      </c>
      <c r="Z307" s="2" t="s">
        <v>5</v>
      </c>
      <c r="AA307" s="2" t="s">
        <v>5</v>
      </c>
      <c r="AB307" s="2" t="s">
        <v>5</v>
      </c>
      <c r="AC307" s="2" t="s">
        <v>5</v>
      </c>
      <c r="AD307" s="2" t="s">
        <v>5</v>
      </c>
      <c r="AE307" s="2" t="s">
        <v>5</v>
      </c>
      <c r="AF307" s="2" t="s">
        <v>5</v>
      </c>
      <c r="AG307" s="2" t="s">
        <v>5</v>
      </c>
      <c r="AH307" s="2" t="s">
        <v>5</v>
      </c>
      <c r="AI307" s="2" t="s">
        <v>6</v>
      </c>
      <c r="AJ307" s="2" t="s">
        <v>6</v>
      </c>
      <c r="AK307" s="2" t="s">
        <v>6</v>
      </c>
      <c r="AL307" s="2" t="s">
        <v>6</v>
      </c>
      <c r="AM307" s="2" t="s">
        <v>5</v>
      </c>
      <c r="AN307" s="20"/>
      <c r="AO307" s="12" t="s">
        <v>18</v>
      </c>
    </row>
    <row r="308" spans="1:41">
      <c r="A308" s="57" t="s">
        <v>282</v>
      </c>
      <c r="B308" s="31"/>
      <c r="C308" s="8" t="s">
        <v>12</v>
      </c>
      <c r="D308" s="8" t="s">
        <v>10</v>
      </c>
      <c r="E308" s="8" t="s">
        <v>61</v>
      </c>
      <c r="F308" s="11">
        <v>45987</v>
      </c>
      <c r="G308" s="8" t="s">
        <v>32</v>
      </c>
      <c r="H308" s="12" t="s">
        <v>18</v>
      </c>
      <c r="I308" s="7" t="s">
        <v>7</v>
      </c>
      <c r="J308" s="2" t="s">
        <v>5</v>
      </c>
      <c r="K308" s="2" t="s">
        <v>5</v>
      </c>
      <c r="L308" s="2" t="s">
        <v>5</v>
      </c>
      <c r="M308" s="2" t="s">
        <v>5</v>
      </c>
      <c r="N308" s="2" t="s">
        <v>5</v>
      </c>
      <c r="O308" s="2" t="s">
        <v>5</v>
      </c>
      <c r="P308" s="2" t="s">
        <v>5</v>
      </c>
      <c r="Q308" s="2" t="s">
        <v>5</v>
      </c>
      <c r="R308" s="2" t="s">
        <v>5</v>
      </c>
      <c r="S308" s="2" t="s">
        <v>5</v>
      </c>
      <c r="T308" s="2" t="s">
        <v>5</v>
      </c>
      <c r="U308" s="2" t="s">
        <v>5</v>
      </c>
      <c r="V308" s="2" t="s">
        <v>5</v>
      </c>
      <c r="W308" s="2" t="s">
        <v>5</v>
      </c>
      <c r="X308" s="2" t="s">
        <v>5</v>
      </c>
      <c r="Y308" s="2" t="s">
        <v>5</v>
      </c>
      <c r="Z308" s="2" t="s">
        <v>5</v>
      </c>
      <c r="AA308" s="2" t="s">
        <v>5</v>
      </c>
      <c r="AB308" s="2" t="s">
        <v>5</v>
      </c>
      <c r="AC308" s="2" t="s">
        <v>5</v>
      </c>
      <c r="AD308" s="2" t="s">
        <v>5</v>
      </c>
      <c r="AE308" s="2" t="s">
        <v>5</v>
      </c>
      <c r="AF308" s="2" t="s">
        <v>5</v>
      </c>
      <c r="AG308" s="2" t="s">
        <v>5</v>
      </c>
      <c r="AH308" s="2" t="s">
        <v>5</v>
      </c>
      <c r="AI308" s="2">
        <v>0.375</v>
      </c>
      <c r="AJ308" s="2">
        <v>0.375</v>
      </c>
      <c r="AK308" s="2">
        <v>0.375</v>
      </c>
      <c r="AL308" s="2">
        <v>0.375</v>
      </c>
      <c r="AM308" s="2" t="s">
        <v>5</v>
      </c>
      <c r="AN308" s="20"/>
      <c r="AO308" s="12"/>
    </row>
    <row r="309" spans="1:41">
      <c r="A309" s="57" t="s">
        <v>282</v>
      </c>
      <c r="B309" s="31"/>
      <c r="C309" s="8" t="s">
        <v>12</v>
      </c>
      <c r="D309" s="8" t="s">
        <v>10</v>
      </c>
      <c r="E309" s="8" t="s">
        <v>61</v>
      </c>
      <c r="F309" s="11">
        <v>45987</v>
      </c>
      <c r="G309" s="8" t="s">
        <v>32</v>
      </c>
      <c r="H309" s="12" t="s">
        <v>18</v>
      </c>
      <c r="I309" s="7" t="s">
        <v>8</v>
      </c>
      <c r="J309" s="2" t="s">
        <v>5</v>
      </c>
      <c r="K309" s="2" t="s">
        <v>5</v>
      </c>
      <c r="L309" s="2" t="s">
        <v>5</v>
      </c>
      <c r="M309" s="2" t="s">
        <v>5</v>
      </c>
      <c r="N309" s="2" t="s">
        <v>5</v>
      </c>
      <c r="O309" s="2" t="s">
        <v>5</v>
      </c>
      <c r="P309" s="2" t="s">
        <v>5</v>
      </c>
      <c r="Q309" s="2" t="s">
        <v>5</v>
      </c>
      <c r="R309" s="2" t="s">
        <v>5</v>
      </c>
      <c r="S309" s="2" t="s">
        <v>5</v>
      </c>
      <c r="T309" s="2" t="s">
        <v>5</v>
      </c>
      <c r="U309" s="2" t="s">
        <v>5</v>
      </c>
      <c r="V309" s="2" t="s">
        <v>5</v>
      </c>
      <c r="W309" s="2" t="s">
        <v>5</v>
      </c>
      <c r="X309" s="2" t="s">
        <v>5</v>
      </c>
      <c r="Y309" s="2" t="s">
        <v>5</v>
      </c>
      <c r="Z309" s="2" t="s">
        <v>5</v>
      </c>
      <c r="AA309" s="2" t="s">
        <v>5</v>
      </c>
      <c r="AB309" s="2" t="s">
        <v>5</v>
      </c>
      <c r="AC309" s="2" t="s">
        <v>5</v>
      </c>
      <c r="AD309" s="2" t="s">
        <v>5</v>
      </c>
      <c r="AE309" s="2" t="s">
        <v>5</v>
      </c>
      <c r="AF309" s="2" t="s">
        <v>5</v>
      </c>
      <c r="AG309" s="2" t="s">
        <v>5</v>
      </c>
      <c r="AH309" s="2" t="s">
        <v>5</v>
      </c>
      <c r="AI309" s="2">
        <v>0.75</v>
      </c>
      <c r="AJ309" s="2">
        <v>0.75</v>
      </c>
      <c r="AK309" s="2">
        <v>0.75</v>
      </c>
      <c r="AL309" s="2">
        <v>0.75</v>
      </c>
      <c r="AM309" s="2" t="s">
        <v>5</v>
      </c>
      <c r="AN309" s="20"/>
      <c r="AO309" s="12"/>
    </row>
    <row r="310" spans="1:41">
      <c r="A310" s="47" t="s">
        <v>282</v>
      </c>
      <c r="B310" s="31"/>
      <c r="C310" s="21" t="s">
        <v>12</v>
      </c>
      <c r="D310" s="21" t="s">
        <v>10</v>
      </c>
      <c r="E310" s="21" t="s">
        <v>61</v>
      </c>
      <c r="F310" s="22">
        <v>45987</v>
      </c>
      <c r="G310" s="21" t="s">
        <v>32</v>
      </c>
      <c r="H310" s="21" t="s">
        <v>18</v>
      </c>
      <c r="I310" s="25" t="s">
        <v>9</v>
      </c>
      <c r="J310" s="24" t="s">
        <v>5</v>
      </c>
      <c r="K310" s="24" t="s">
        <v>5</v>
      </c>
      <c r="L310" s="24" t="s">
        <v>5</v>
      </c>
      <c r="M310" s="24" t="s">
        <v>5</v>
      </c>
      <c r="N310" s="24" t="s">
        <v>5</v>
      </c>
      <c r="O310" s="24" t="s">
        <v>5</v>
      </c>
      <c r="P310" s="24" t="s">
        <v>5</v>
      </c>
      <c r="Q310" s="24" t="s">
        <v>5</v>
      </c>
      <c r="R310" s="24" t="s">
        <v>5</v>
      </c>
      <c r="S310" s="24" t="s">
        <v>5</v>
      </c>
      <c r="T310" s="24" t="s">
        <v>5</v>
      </c>
      <c r="U310" s="24" t="s">
        <v>5</v>
      </c>
      <c r="V310" s="24" t="s">
        <v>5</v>
      </c>
      <c r="W310" s="24" t="s">
        <v>5</v>
      </c>
      <c r="X310" s="24" t="s">
        <v>5</v>
      </c>
      <c r="Y310" s="24" t="s">
        <v>5</v>
      </c>
      <c r="Z310" s="24" t="s">
        <v>5</v>
      </c>
      <c r="AA310" s="24" t="s">
        <v>5</v>
      </c>
      <c r="AB310" s="24" t="s">
        <v>5</v>
      </c>
      <c r="AC310" s="24" t="s">
        <v>5</v>
      </c>
      <c r="AD310" s="24" t="s">
        <v>5</v>
      </c>
      <c r="AE310" s="24" t="s">
        <v>5</v>
      </c>
      <c r="AF310" s="24" t="s">
        <v>5</v>
      </c>
      <c r="AG310" s="24" t="s">
        <v>5</v>
      </c>
      <c r="AH310" s="24" t="s">
        <v>5</v>
      </c>
      <c r="AI310" s="24">
        <f t="shared" ref="AI310:AJ310" si="1034">IF(AND(ISBLANK(AI308),ISBLANK(AI309)),"A",IFERROR(+MOD(AI309-AI308,1),AI307))</f>
        <v>0.375</v>
      </c>
      <c r="AJ310" s="24">
        <f t="shared" si="1034"/>
        <v>0.375</v>
      </c>
      <c r="AK310" s="24">
        <f t="shared" ref="AK310:AM310" si="1035">IF(AND(ISBLANK(AK308),ISBLANK(AK309)),"A",IFERROR(+MOD(AK309-AK308,1),AK307))</f>
        <v>0.375</v>
      </c>
      <c r="AL310" s="24">
        <f t="shared" si="1035"/>
        <v>0.375</v>
      </c>
      <c r="AM310" s="24" t="s">
        <v>5</v>
      </c>
      <c r="AN310" s="20"/>
      <c r="AO310" s="21"/>
    </row>
    <row r="311" spans="1:41">
      <c r="A311" s="57" t="s">
        <v>282</v>
      </c>
      <c r="B311" s="31"/>
      <c r="C311" s="8" t="s">
        <v>306</v>
      </c>
      <c r="D311" s="8" t="s">
        <v>42</v>
      </c>
      <c r="E311" s="8" t="s">
        <v>307</v>
      </c>
      <c r="F311" s="11">
        <v>45987</v>
      </c>
      <c r="G311" s="8" t="s">
        <v>32</v>
      </c>
      <c r="H311" s="12" t="s">
        <v>18</v>
      </c>
      <c r="I311" s="14" t="s">
        <v>4</v>
      </c>
      <c r="J311" s="2" t="s">
        <v>5</v>
      </c>
      <c r="K311" s="2" t="s">
        <v>5</v>
      </c>
      <c r="L311" s="2" t="s">
        <v>5</v>
      </c>
      <c r="M311" s="2" t="s">
        <v>5</v>
      </c>
      <c r="N311" s="2" t="s">
        <v>5</v>
      </c>
      <c r="O311" s="2" t="s">
        <v>5</v>
      </c>
      <c r="P311" s="2" t="s">
        <v>5</v>
      </c>
      <c r="Q311" s="2" t="s">
        <v>5</v>
      </c>
      <c r="R311" s="2" t="s">
        <v>5</v>
      </c>
      <c r="S311" s="2" t="s">
        <v>5</v>
      </c>
      <c r="T311" s="2" t="s">
        <v>5</v>
      </c>
      <c r="U311" s="2" t="s">
        <v>5</v>
      </c>
      <c r="V311" s="2" t="s">
        <v>5</v>
      </c>
      <c r="W311" s="2" t="s">
        <v>5</v>
      </c>
      <c r="X311" s="2" t="s">
        <v>5</v>
      </c>
      <c r="Y311" s="2" t="s">
        <v>5</v>
      </c>
      <c r="Z311" s="2" t="s">
        <v>5</v>
      </c>
      <c r="AA311" s="2" t="s">
        <v>5</v>
      </c>
      <c r="AB311" s="2" t="s">
        <v>5</v>
      </c>
      <c r="AC311" s="2" t="s">
        <v>5</v>
      </c>
      <c r="AD311" s="2" t="s">
        <v>5</v>
      </c>
      <c r="AE311" s="2" t="s">
        <v>5</v>
      </c>
      <c r="AF311" s="2" t="s">
        <v>5</v>
      </c>
      <c r="AG311" s="2" t="s">
        <v>5</v>
      </c>
      <c r="AH311" s="2" t="s">
        <v>5</v>
      </c>
      <c r="AI311" s="2" t="s">
        <v>6</v>
      </c>
      <c r="AJ311" s="2" t="s">
        <v>5</v>
      </c>
      <c r="AK311" s="2" t="s">
        <v>5</v>
      </c>
      <c r="AL311" s="2" t="s">
        <v>5</v>
      </c>
      <c r="AM311" s="2" t="s">
        <v>5</v>
      </c>
      <c r="AN311" s="20"/>
      <c r="AO311" s="12" t="s">
        <v>18</v>
      </c>
    </row>
    <row r="312" spans="1:41">
      <c r="A312" s="57" t="s">
        <v>282</v>
      </c>
      <c r="B312" s="31"/>
      <c r="C312" s="8" t="s">
        <v>306</v>
      </c>
      <c r="D312" s="8" t="s">
        <v>42</v>
      </c>
      <c r="E312" s="8" t="s">
        <v>307</v>
      </c>
      <c r="F312" s="11">
        <v>45987</v>
      </c>
      <c r="G312" s="8" t="s">
        <v>32</v>
      </c>
      <c r="H312" s="12" t="s">
        <v>18</v>
      </c>
      <c r="I312" s="7" t="s">
        <v>7</v>
      </c>
      <c r="J312" s="2" t="s">
        <v>5</v>
      </c>
      <c r="K312" s="2" t="s">
        <v>5</v>
      </c>
      <c r="L312" s="2" t="s">
        <v>5</v>
      </c>
      <c r="M312" s="2" t="s">
        <v>5</v>
      </c>
      <c r="N312" s="2" t="s">
        <v>5</v>
      </c>
      <c r="O312" s="2" t="s">
        <v>5</v>
      </c>
      <c r="P312" s="2" t="s">
        <v>5</v>
      </c>
      <c r="Q312" s="2" t="s">
        <v>5</v>
      </c>
      <c r="R312" s="2" t="s">
        <v>5</v>
      </c>
      <c r="S312" s="2" t="s">
        <v>5</v>
      </c>
      <c r="T312" s="2" t="s">
        <v>5</v>
      </c>
      <c r="U312" s="2" t="s">
        <v>5</v>
      </c>
      <c r="V312" s="2" t="s">
        <v>5</v>
      </c>
      <c r="W312" s="2" t="s">
        <v>5</v>
      </c>
      <c r="X312" s="2" t="s">
        <v>5</v>
      </c>
      <c r="Y312" s="2" t="s">
        <v>5</v>
      </c>
      <c r="Z312" s="2" t="s">
        <v>5</v>
      </c>
      <c r="AA312" s="2" t="s">
        <v>5</v>
      </c>
      <c r="AB312" s="2" t="s">
        <v>5</v>
      </c>
      <c r="AC312" s="2" t="s">
        <v>5</v>
      </c>
      <c r="AD312" s="2" t="s">
        <v>5</v>
      </c>
      <c r="AE312" s="2" t="s">
        <v>5</v>
      </c>
      <c r="AF312" s="2" t="s">
        <v>5</v>
      </c>
      <c r="AG312" s="2" t="s">
        <v>5</v>
      </c>
      <c r="AH312" s="2" t="s">
        <v>5</v>
      </c>
      <c r="AI312" s="2">
        <v>0.375</v>
      </c>
      <c r="AJ312" s="2" t="s">
        <v>5</v>
      </c>
      <c r="AK312" s="2" t="s">
        <v>5</v>
      </c>
      <c r="AL312" s="2" t="s">
        <v>5</v>
      </c>
      <c r="AM312" s="2" t="s">
        <v>5</v>
      </c>
      <c r="AN312" s="20"/>
      <c r="AO312" s="12"/>
    </row>
    <row r="313" spans="1:41">
      <c r="A313" s="57" t="s">
        <v>282</v>
      </c>
      <c r="B313" s="31"/>
      <c r="C313" s="8" t="s">
        <v>306</v>
      </c>
      <c r="D313" s="8" t="s">
        <v>42</v>
      </c>
      <c r="E313" s="8" t="s">
        <v>307</v>
      </c>
      <c r="F313" s="11">
        <v>45987</v>
      </c>
      <c r="G313" s="8" t="s">
        <v>32</v>
      </c>
      <c r="H313" s="12" t="s">
        <v>18</v>
      </c>
      <c r="I313" s="7" t="s">
        <v>8</v>
      </c>
      <c r="J313" s="2" t="s">
        <v>5</v>
      </c>
      <c r="K313" s="2" t="s">
        <v>5</v>
      </c>
      <c r="L313" s="2" t="s">
        <v>5</v>
      </c>
      <c r="M313" s="2" t="s">
        <v>5</v>
      </c>
      <c r="N313" s="2" t="s">
        <v>5</v>
      </c>
      <c r="O313" s="2" t="s">
        <v>5</v>
      </c>
      <c r="P313" s="2" t="s">
        <v>5</v>
      </c>
      <c r="Q313" s="2" t="s">
        <v>5</v>
      </c>
      <c r="R313" s="2" t="s">
        <v>5</v>
      </c>
      <c r="S313" s="2" t="s">
        <v>5</v>
      </c>
      <c r="T313" s="2" t="s">
        <v>5</v>
      </c>
      <c r="U313" s="2" t="s">
        <v>5</v>
      </c>
      <c r="V313" s="2" t="s">
        <v>5</v>
      </c>
      <c r="W313" s="2" t="s">
        <v>5</v>
      </c>
      <c r="X313" s="2" t="s">
        <v>5</v>
      </c>
      <c r="Y313" s="2" t="s">
        <v>5</v>
      </c>
      <c r="Z313" s="2" t="s">
        <v>5</v>
      </c>
      <c r="AA313" s="2" t="s">
        <v>5</v>
      </c>
      <c r="AB313" s="2" t="s">
        <v>5</v>
      </c>
      <c r="AC313" s="2" t="s">
        <v>5</v>
      </c>
      <c r="AD313" s="2" t="s">
        <v>5</v>
      </c>
      <c r="AE313" s="2" t="s">
        <v>5</v>
      </c>
      <c r="AF313" s="2" t="s">
        <v>5</v>
      </c>
      <c r="AG313" s="2" t="s">
        <v>5</v>
      </c>
      <c r="AH313" s="2" t="s">
        <v>5</v>
      </c>
      <c r="AI313" s="2">
        <v>0.75</v>
      </c>
      <c r="AJ313" s="2" t="s">
        <v>5</v>
      </c>
      <c r="AK313" s="2" t="s">
        <v>5</v>
      </c>
      <c r="AL313" s="2" t="s">
        <v>5</v>
      </c>
      <c r="AM313" s="2" t="s">
        <v>5</v>
      </c>
      <c r="AN313" s="20"/>
      <c r="AO313" s="12"/>
    </row>
    <row r="314" spans="1:41">
      <c r="A314" s="47" t="s">
        <v>282</v>
      </c>
      <c r="B314" s="31"/>
      <c r="C314" s="21" t="s">
        <v>306</v>
      </c>
      <c r="D314" s="21" t="s">
        <v>42</v>
      </c>
      <c r="E314" s="21" t="s">
        <v>21</v>
      </c>
      <c r="F314" s="22">
        <v>45987</v>
      </c>
      <c r="G314" s="21" t="s">
        <v>32</v>
      </c>
      <c r="H314" s="21" t="s">
        <v>18</v>
      </c>
      <c r="I314" s="25" t="s">
        <v>9</v>
      </c>
      <c r="J314" s="24" t="s">
        <v>5</v>
      </c>
      <c r="K314" s="24" t="s">
        <v>5</v>
      </c>
      <c r="L314" s="24" t="s">
        <v>5</v>
      </c>
      <c r="M314" s="24" t="s">
        <v>5</v>
      </c>
      <c r="N314" s="24" t="s">
        <v>5</v>
      </c>
      <c r="O314" s="24" t="s">
        <v>5</v>
      </c>
      <c r="P314" s="24" t="s">
        <v>5</v>
      </c>
      <c r="Q314" s="24" t="s">
        <v>5</v>
      </c>
      <c r="R314" s="24" t="s">
        <v>5</v>
      </c>
      <c r="S314" s="24" t="s">
        <v>5</v>
      </c>
      <c r="T314" s="24" t="s">
        <v>5</v>
      </c>
      <c r="U314" s="24" t="s">
        <v>5</v>
      </c>
      <c r="V314" s="24" t="s">
        <v>5</v>
      </c>
      <c r="W314" s="24" t="s">
        <v>5</v>
      </c>
      <c r="X314" s="24" t="s">
        <v>5</v>
      </c>
      <c r="Y314" s="24" t="s">
        <v>5</v>
      </c>
      <c r="Z314" s="24" t="s">
        <v>5</v>
      </c>
      <c r="AA314" s="24" t="s">
        <v>5</v>
      </c>
      <c r="AB314" s="24" t="s">
        <v>5</v>
      </c>
      <c r="AC314" s="24" t="s">
        <v>5</v>
      </c>
      <c r="AD314" s="24" t="s">
        <v>5</v>
      </c>
      <c r="AE314" s="24" t="s">
        <v>5</v>
      </c>
      <c r="AF314" s="24" t="s">
        <v>5</v>
      </c>
      <c r="AG314" s="24" t="s">
        <v>5</v>
      </c>
      <c r="AH314" s="24" t="s">
        <v>5</v>
      </c>
      <c r="AI314" s="24">
        <f t="shared" ref="AI314:AM314" si="1036">IF(AND(ISBLANK(AI312),ISBLANK(AI313)),"A",IFERROR(+MOD(AI313-AI312,1),AI311))</f>
        <v>0.375</v>
      </c>
      <c r="AJ314" s="24" t="s">
        <v>5</v>
      </c>
      <c r="AK314" s="24" t="s">
        <v>5</v>
      </c>
      <c r="AL314" s="24" t="s">
        <v>5</v>
      </c>
      <c r="AM314" s="24" t="s">
        <v>5</v>
      </c>
      <c r="AN314" s="20"/>
      <c r="AO314" s="21"/>
    </row>
    <row r="315" spans="1:41">
      <c r="A315" s="57" t="s">
        <v>282</v>
      </c>
      <c r="B315" s="31"/>
      <c r="C315" s="8" t="s">
        <v>313</v>
      </c>
      <c r="D315" s="8" t="s">
        <v>42</v>
      </c>
      <c r="E315" s="8" t="s">
        <v>308</v>
      </c>
      <c r="F315" s="11">
        <v>45988</v>
      </c>
      <c r="G315" s="8" t="s">
        <v>32</v>
      </c>
      <c r="H315" s="12" t="s">
        <v>18</v>
      </c>
      <c r="I315" s="14" t="s">
        <v>4</v>
      </c>
      <c r="J315" s="2" t="s">
        <v>5</v>
      </c>
      <c r="K315" s="2" t="s">
        <v>5</v>
      </c>
      <c r="L315" s="2" t="s">
        <v>5</v>
      </c>
      <c r="M315" s="2" t="s">
        <v>5</v>
      </c>
      <c r="N315" s="2" t="s">
        <v>5</v>
      </c>
      <c r="O315" s="2" t="s">
        <v>5</v>
      </c>
      <c r="P315" s="2" t="s">
        <v>5</v>
      </c>
      <c r="Q315" s="2" t="s">
        <v>5</v>
      </c>
      <c r="R315" s="2" t="s">
        <v>5</v>
      </c>
      <c r="S315" s="2" t="s">
        <v>5</v>
      </c>
      <c r="T315" s="2" t="s">
        <v>5</v>
      </c>
      <c r="U315" s="2" t="s">
        <v>5</v>
      </c>
      <c r="V315" s="2" t="s">
        <v>5</v>
      </c>
      <c r="W315" s="2" t="s">
        <v>5</v>
      </c>
      <c r="X315" s="2" t="s">
        <v>5</v>
      </c>
      <c r="Y315" s="2" t="s">
        <v>5</v>
      </c>
      <c r="Z315" s="2" t="s">
        <v>5</v>
      </c>
      <c r="AA315" s="2" t="s">
        <v>5</v>
      </c>
      <c r="AB315" s="2" t="s">
        <v>5</v>
      </c>
      <c r="AC315" s="2" t="s">
        <v>5</v>
      </c>
      <c r="AD315" s="2" t="s">
        <v>5</v>
      </c>
      <c r="AE315" s="2" t="s">
        <v>5</v>
      </c>
      <c r="AF315" s="2" t="s">
        <v>5</v>
      </c>
      <c r="AG315" s="2" t="s">
        <v>5</v>
      </c>
      <c r="AH315" s="2" t="s">
        <v>5</v>
      </c>
      <c r="AI315" s="2" t="s">
        <v>5</v>
      </c>
      <c r="AJ315" s="2" t="s">
        <v>6</v>
      </c>
      <c r="AK315" s="2" t="s">
        <v>6</v>
      </c>
      <c r="AL315" s="2" t="s">
        <v>6</v>
      </c>
      <c r="AM315" s="2" t="s">
        <v>5</v>
      </c>
      <c r="AN315" s="20"/>
      <c r="AO315" s="12" t="s">
        <v>18</v>
      </c>
    </row>
    <row r="316" spans="1:41">
      <c r="A316" s="57" t="s">
        <v>282</v>
      </c>
      <c r="B316" s="31"/>
      <c r="C316" s="8" t="s">
        <v>313</v>
      </c>
      <c r="D316" s="8" t="s">
        <v>42</v>
      </c>
      <c r="E316" s="8" t="s">
        <v>308</v>
      </c>
      <c r="F316" s="11">
        <v>45988</v>
      </c>
      <c r="G316" s="8" t="s">
        <v>32</v>
      </c>
      <c r="H316" s="12" t="s">
        <v>18</v>
      </c>
      <c r="I316" s="7" t="s">
        <v>7</v>
      </c>
      <c r="J316" s="2" t="s">
        <v>5</v>
      </c>
      <c r="K316" s="2" t="s">
        <v>5</v>
      </c>
      <c r="L316" s="2" t="s">
        <v>5</v>
      </c>
      <c r="M316" s="2" t="s">
        <v>5</v>
      </c>
      <c r="N316" s="2" t="s">
        <v>5</v>
      </c>
      <c r="O316" s="2" t="s">
        <v>5</v>
      </c>
      <c r="P316" s="2" t="s">
        <v>5</v>
      </c>
      <c r="Q316" s="2" t="s">
        <v>5</v>
      </c>
      <c r="R316" s="2" t="s">
        <v>5</v>
      </c>
      <c r="S316" s="2" t="s">
        <v>5</v>
      </c>
      <c r="T316" s="2" t="s">
        <v>5</v>
      </c>
      <c r="U316" s="2" t="s">
        <v>5</v>
      </c>
      <c r="V316" s="2" t="s">
        <v>5</v>
      </c>
      <c r="W316" s="2" t="s">
        <v>5</v>
      </c>
      <c r="X316" s="2" t="s">
        <v>5</v>
      </c>
      <c r="Y316" s="2" t="s">
        <v>5</v>
      </c>
      <c r="Z316" s="2" t="s">
        <v>5</v>
      </c>
      <c r="AA316" s="2" t="s">
        <v>5</v>
      </c>
      <c r="AB316" s="2" t="s">
        <v>5</v>
      </c>
      <c r="AC316" s="2" t="s">
        <v>5</v>
      </c>
      <c r="AD316" s="2" t="s">
        <v>5</v>
      </c>
      <c r="AE316" s="2" t="s">
        <v>5</v>
      </c>
      <c r="AF316" s="2" t="s">
        <v>5</v>
      </c>
      <c r="AG316" s="2" t="s">
        <v>5</v>
      </c>
      <c r="AH316" s="2" t="s">
        <v>5</v>
      </c>
      <c r="AI316" s="2" t="s">
        <v>5</v>
      </c>
      <c r="AJ316" s="2">
        <v>0.375</v>
      </c>
      <c r="AK316" s="2">
        <v>0.375</v>
      </c>
      <c r="AL316" s="2">
        <v>0.375</v>
      </c>
      <c r="AM316" s="2" t="s">
        <v>5</v>
      </c>
      <c r="AN316" s="20"/>
      <c r="AO316" s="12"/>
    </row>
    <row r="317" spans="1:41">
      <c r="A317" s="57" t="s">
        <v>282</v>
      </c>
      <c r="B317" s="31"/>
      <c r="C317" s="8" t="s">
        <v>313</v>
      </c>
      <c r="D317" s="8" t="s">
        <v>42</v>
      </c>
      <c r="E317" s="8" t="s">
        <v>308</v>
      </c>
      <c r="F317" s="11">
        <v>45988</v>
      </c>
      <c r="G317" s="8" t="s">
        <v>32</v>
      </c>
      <c r="H317" s="12" t="s">
        <v>18</v>
      </c>
      <c r="I317" s="7" t="s">
        <v>8</v>
      </c>
      <c r="J317" s="2" t="s">
        <v>5</v>
      </c>
      <c r="K317" s="2" t="s">
        <v>5</v>
      </c>
      <c r="L317" s="2" t="s">
        <v>5</v>
      </c>
      <c r="M317" s="2" t="s">
        <v>5</v>
      </c>
      <c r="N317" s="2" t="s">
        <v>5</v>
      </c>
      <c r="O317" s="2" t="s">
        <v>5</v>
      </c>
      <c r="P317" s="2" t="s">
        <v>5</v>
      </c>
      <c r="Q317" s="2" t="s">
        <v>5</v>
      </c>
      <c r="R317" s="2" t="s">
        <v>5</v>
      </c>
      <c r="S317" s="2" t="s">
        <v>5</v>
      </c>
      <c r="T317" s="2" t="s">
        <v>5</v>
      </c>
      <c r="U317" s="2" t="s">
        <v>5</v>
      </c>
      <c r="V317" s="2" t="s">
        <v>5</v>
      </c>
      <c r="W317" s="2" t="s">
        <v>5</v>
      </c>
      <c r="X317" s="2" t="s">
        <v>5</v>
      </c>
      <c r="Y317" s="2" t="s">
        <v>5</v>
      </c>
      <c r="Z317" s="2" t="s">
        <v>5</v>
      </c>
      <c r="AA317" s="2" t="s">
        <v>5</v>
      </c>
      <c r="AB317" s="2" t="s">
        <v>5</v>
      </c>
      <c r="AC317" s="2" t="s">
        <v>5</v>
      </c>
      <c r="AD317" s="2" t="s">
        <v>5</v>
      </c>
      <c r="AE317" s="2" t="s">
        <v>5</v>
      </c>
      <c r="AF317" s="2" t="s">
        <v>5</v>
      </c>
      <c r="AG317" s="2" t="s">
        <v>5</v>
      </c>
      <c r="AH317" s="2" t="s">
        <v>5</v>
      </c>
      <c r="AI317" s="2" t="s">
        <v>5</v>
      </c>
      <c r="AJ317" s="2">
        <v>0.875</v>
      </c>
      <c r="AK317" s="2">
        <v>0.88541666666666663</v>
      </c>
      <c r="AL317" s="2">
        <v>0.88958333333333339</v>
      </c>
      <c r="AM317" s="2" t="s">
        <v>5</v>
      </c>
      <c r="AN317" s="20"/>
      <c r="AO317" s="12"/>
    </row>
    <row r="318" spans="1:41">
      <c r="A318" s="47" t="s">
        <v>282</v>
      </c>
      <c r="B318" s="31"/>
      <c r="C318" s="21" t="s">
        <v>313</v>
      </c>
      <c r="D318" s="21" t="s">
        <v>42</v>
      </c>
      <c r="E318" s="21" t="s">
        <v>308</v>
      </c>
      <c r="F318" s="22">
        <v>45988</v>
      </c>
      <c r="G318" s="21" t="s">
        <v>32</v>
      </c>
      <c r="H318" s="21" t="s">
        <v>18</v>
      </c>
      <c r="I318" s="25" t="s">
        <v>9</v>
      </c>
      <c r="J318" s="24" t="s">
        <v>5</v>
      </c>
      <c r="K318" s="24" t="s">
        <v>5</v>
      </c>
      <c r="L318" s="24" t="s">
        <v>5</v>
      </c>
      <c r="M318" s="24" t="s">
        <v>5</v>
      </c>
      <c r="N318" s="24" t="s">
        <v>5</v>
      </c>
      <c r="O318" s="24" t="s">
        <v>5</v>
      </c>
      <c r="P318" s="24" t="s">
        <v>5</v>
      </c>
      <c r="Q318" s="24" t="s">
        <v>5</v>
      </c>
      <c r="R318" s="24" t="s">
        <v>5</v>
      </c>
      <c r="S318" s="24" t="s">
        <v>5</v>
      </c>
      <c r="T318" s="24" t="s">
        <v>5</v>
      </c>
      <c r="U318" s="24" t="s">
        <v>5</v>
      </c>
      <c r="V318" s="24" t="s">
        <v>5</v>
      </c>
      <c r="W318" s="24" t="s">
        <v>5</v>
      </c>
      <c r="X318" s="24" t="s">
        <v>5</v>
      </c>
      <c r="Y318" s="24" t="s">
        <v>5</v>
      </c>
      <c r="Z318" s="24" t="s">
        <v>5</v>
      </c>
      <c r="AA318" s="24" t="s">
        <v>5</v>
      </c>
      <c r="AB318" s="24" t="s">
        <v>5</v>
      </c>
      <c r="AC318" s="24" t="s">
        <v>5</v>
      </c>
      <c r="AD318" s="24" t="s">
        <v>5</v>
      </c>
      <c r="AE318" s="24" t="s">
        <v>5</v>
      </c>
      <c r="AF318" s="24" t="s">
        <v>5</v>
      </c>
      <c r="AG318" s="24" t="s">
        <v>5</v>
      </c>
      <c r="AH318" s="24" t="s">
        <v>5</v>
      </c>
      <c r="AI318" s="24" t="s">
        <v>5</v>
      </c>
      <c r="AJ318" s="24">
        <f t="shared" ref="AJ318" si="1037">IF(AND(ISBLANK(AJ316),ISBLANK(AJ317)),"A",IFERROR(+MOD(AJ317-AJ316,1),AJ315))</f>
        <v>0.5</v>
      </c>
      <c r="AK318" s="24">
        <f t="shared" ref="AK318:AM318" si="1038">IF(AND(ISBLANK(AK316),ISBLANK(AK317)),"A",IFERROR(+MOD(AK317-AK316,1),AK315))</f>
        <v>0.51041666666666663</v>
      </c>
      <c r="AL318" s="24">
        <f t="shared" si="1038"/>
        <v>0.51458333333333339</v>
      </c>
      <c r="AM318" s="24" t="s">
        <v>5</v>
      </c>
      <c r="AN318" s="20"/>
      <c r="AO318" s="21"/>
    </row>
    <row r="319" spans="1:41">
      <c r="A319" s="57" t="s">
        <v>282</v>
      </c>
      <c r="B319" s="31"/>
      <c r="C319" s="8" t="s">
        <v>309</v>
      </c>
      <c r="D319" s="8" t="s">
        <v>42</v>
      </c>
      <c r="E319" s="8" t="s">
        <v>310</v>
      </c>
      <c r="F319" s="11">
        <v>45988</v>
      </c>
      <c r="G319" s="8" t="s">
        <v>32</v>
      </c>
      <c r="H319" s="12" t="s">
        <v>18</v>
      </c>
      <c r="I319" s="14" t="s">
        <v>4</v>
      </c>
      <c r="J319" s="2" t="s">
        <v>5</v>
      </c>
      <c r="K319" s="2" t="s">
        <v>5</v>
      </c>
      <c r="L319" s="2" t="s">
        <v>5</v>
      </c>
      <c r="M319" s="2" t="s">
        <v>5</v>
      </c>
      <c r="N319" s="2" t="s">
        <v>5</v>
      </c>
      <c r="O319" s="2" t="s">
        <v>5</v>
      </c>
      <c r="P319" s="2" t="s">
        <v>5</v>
      </c>
      <c r="Q319" s="2" t="s">
        <v>5</v>
      </c>
      <c r="R319" s="2" t="s">
        <v>5</v>
      </c>
      <c r="S319" s="2" t="s">
        <v>5</v>
      </c>
      <c r="T319" s="2" t="s">
        <v>5</v>
      </c>
      <c r="U319" s="2" t="s">
        <v>5</v>
      </c>
      <c r="V319" s="2" t="s">
        <v>5</v>
      </c>
      <c r="W319" s="2" t="s">
        <v>5</v>
      </c>
      <c r="X319" s="2" t="s">
        <v>5</v>
      </c>
      <c r="Y319" s="2" t="s">
        <v>5</v>
      </c>
      <c r="Z319" s="2" t="s">
        <v>5</v>
      </c>
      <c r="AA319" s="2" t="s">
        <v>5</v>
      </c>
      <c r="AB319" s="2" t="s">
        <v>5</v>
      </c>
      <c r="AC319" s="2" t="s">
        <v>5</v>
      </c>
      <c r="AD319" s="2" t="s">
        <v>5</v>
      </c>
      <c r="AE319" s="2" t="s">
        <v>5</v>
      </c>
      <c r="AF319" s="2" t="s">
        <v>5</v>
      </c>
      <c r="AG319" s="2" t="s">
        <v>5</v>
      </c>
      <c r="AH319" s="2" t="s">
        <v>5</v>
      </c>
      <c r="AI319" s="2" t="s">
        <v>5</v>
      </c>
      <c r="AJ319" s="2" t="s">
        <v>6</v>
      </c>
      <c r="AK319" s="2" t="s">
        <v>6</v>
      </c>
      <c r="AL319" s="2" t="s">
        <v>6</v>
      </c>
      <c r="AM319" s="2" t="s">
        <v>6</v>
      </c>
      <c r="AN319" s="20"/>
      <c r="AO319" s="12" t="s">
        <v>18</v>
      </c>
    </row>
    <row r="320" spans="1:41">
      <c r="A320" s="57" t="s">
        <v>282</v>
      </c>
      <c r="B320" s="31"/>
      <c r="C320" s="8" t="s">
        <v>309</v>
      </c>
      <c r="D320" s="8" t="s">
        <v>42</v>
      </c>
      <c r="E320" s="8" t="s">
        <v>310</v>
      </c>
      <c r="F320" s="11">
        <v>45988</v>
      </c>
      <c r="G320" s="8" t="s">
        <v>32</v>
      </c>
      <c r="H320" s="12" t="s">
        <v>18</v>
      </c>
      <c r="I320" s="7" t="s">
        <v>7</v>
      </c>
      <c r="J320" s="2" t="s">
        <v>5</v>
      </c>
      <c r="K320" s="2" t="s">
        <v>5</v>
      </c>
      <c r="L320" s="2" t="s">
        <v>5</v>
      </c>
      <c r="M320" s="2" t="s">
        <v>5</v>
      </c>
      <c r="N320" s="2" t="s">
        <v>5</v>
      </c>
      <c r="O320" s="2" t="s">
        <v>5</v>
      </c>
      <c r="P320" s="2" t="s">
        <v>5</v>
      </c>
      <c r="Q320" s="2" t="s">
        <v>5</v>
      </c>
      <c r="R320" s="2" t="s">
        <v>5</v>
      </c>
      <c r="S320" s="2" t="s">
        <v>5</v>
      </c>
      <c r="T320" s="2" t="s">
        <v>5</v>
      </c>
      <c r="U320" s="2" t="s">
        <v>5</v>
      </c>
      <c r="V320" s="2" t="s">
        <v>5</v>
      </c>
      <c r="W320" s="2" t="s">
        <v>5</v>
      </c>
      <c r="X320" s="2" t="s">
        <v>5</v>
      </c>
      <c r="Y320" s="2" t="s">
        <v>5</v>
      </c>
      <c r="Z320" s="2" t="s">
        <v>5</v>
      </c>
      <c r="AA320" s="2" t="s">
        <v>5</v>
      </c>
      <c r="AB320" s="2" t="s">
        <v>5</v>
      </c>
      <c r="AC320" s="2" t="s">
        <v>5</v>
      </c>
      <c r="AD320" s="2" t="s">
        <v>5</v>
      </c>
      <c r="AE320" s="2" t="s">
        <v>5</v>
      </c>
      <c r="AF320" s="2" t="s">
        <v>5</v>
      </c>
      <c r="AG320" s="2" t="s">
        <v>5</v>
      </c>
      <c r="AH320" s="2" t="s">
        <v>5</v>
      </c>
      <c r="AI320" s="2" t="s">
        <v>5</v>
      </c>
      <c r="AJ320" s="2">
        <v>0.43194444444444446</v>
      </c>
      <c r="AK320" s="2">
        <v>0.39583333333333331</v>
      </c>
      <c r="AL320" s="2">
        <v>0.39583333333333331</v>
      </c>
      <c r="AM320" s="2">
        <v>0.41666666666666669</v>
      </c>
      <c r="AN320" s="20"/>
      <c r="AO320" s="12"/>
    </row>
    <row r="321" spans="1:41">
      <c r="A321" s="57" t="s">
        <v>282</v>
      </c>
      <c r="B321" s="31"/>
      <c r="C321" s="8" t="s">
        <v>309</v>
      </c>
      <c r="D321" s="8" t="s">
        <v>42</v>
      </c>
      <c r="E321" s="8" t="s">
        <v>310</v>
      </c>
      <c r="F321" s="11">
        <v>45988</v>
      </c>
      <c r="G321" s="8" t="s">
        <v>32</v>
      </c>
      <c r="H321" s="12" t="s">
        <v>18</v>
      </c>
      <c r="I321" s="7" t="s">
        <v>8</v>
      </c>
      <c r="J321" s="2" t="s">
        <v>5</v>
      </c>
      <c r="K321" s="2" t="s">
        <v>5</v>
      </c>
      <c r="L321" s="2" t="s">
        <v>5</v>
      </c>
      <c r="M321" s="2" t="s">
        <v>5</v>
      </c>
      <c r="N321" s="2" t="s">
        <v>5</v>
      </c>
      <c r="O321" s="2" t="s">
        <v>5</v>
      </c>
      <c r="P321" s="2" t="s">
        <v>5</v>
      </c>
      <c r="Q321" s="2" t="s">
        <v>5</v>
      </c>
      <c r="R321" s="2" t="s">
        <v>5</v>
      </c>
      <c r="S321" s="2" t="s">
        <v>5</v>
      </c>
      <c r="T321" s="2" t="s">
        <v>5</v>
      </c>
      <c r="U321" s="2" t="s">
        <v>5</v>
      </c>
      <c r="V321" s="2" t="s">
        <v>5</v>
      </c>
      <c r="W321" s="2" t="s">
        <v>5</v>
      </c>
      <c r="X321" s="2" t="s">
        <v>5</v>
      </c>
      <c r="Y321" s="2" t="s">
        <v>5</v>
      </c>
      <c r="Z321" s="2" t="s">
        <v>5</v>
      </c>
      <c r="AA321" s="2" t="s">
        <v>5</v>
      </c>
      <c r="AB321" s="2" t="s">
        <v>5</v>
      </c>
      <c r="AC321" s="2" t="s">
        <v>5</v>
      </c>
      <c r="AD321" s="2" t="s">
        <v>5</v>
      </c>
      <c r="AE321" s="2" t="s">
        <v>5</v>
      </c>
      <c r="AF321" s="2" t="s">
        <v>5</v>
      </c>
      <c r="AG321" s="2" t="s">
        <v>5</v>
      </c>
      <c r="AH321" s="2" t="s">
        <v>5</v>
      </c>
      <c r="AI321" s="2" t="s">
        <v>5</v>
      </c>
      <c r="AJ321" s="2">
        <v>0.96180555555555547</v>
      </c>
      <c r="AK321" s="2">
        <v>0.96875</v>
      </c>
      <c r="AL321" s="2">
        <v>0.11805555555555557</v>
      </c>
      <c r="AM321" s="2">
        <v>0.96944444444444444</v>
      </c>
      <c r="AN321" s="20"/>
      <c r="AO321" s="12"/>
    </row>
    <row r="322" spans="1:41">
      <c r="A322" s="47" t="s">
        <v>282</v>
      </c>
      <c r="B322" s="31"/>
      <c r="C322" s="21" t="s">
        <v>309</v>
      </c>
      <c r="D322" s="21" t="s">
        <v>42</v>
      </c>
      <c r="E322" s="21" t="s">
        <v>310</v>
      </c>
      <c r="F322" s="22">
        <v>45988</v>
      </c>
      <c r="G322" s="21" t="s">
        <v>32</v>
      </c>
      <c r="H322" s="21" t="s">
        <v>18</v>
      </c>
      <c r="I322" s="25" t="s">
        <v>9</v>
      </c>
      <c r="J322" s="24" t="s">
        <v>5</v>
      </c>
      <c r="K322" s="24" t="s">
        <v>5</v>
      </c>
      <c r="L322" s="24" t="s">
        <v>5</v>
      </c>
      <c r="M322" s="24" t="s">
        <v>5</v>
      </c>
      <c r="N322" s="24" t="s">
        <v>5</v>
      </c>
      <c r="O322" s="24" t="s">
        <v>5</v>
      </c>
      <c r="P322" s="24" t="s">
        <v>5</v>
      </c>
      <c r="Q322" s="24" t="s">
        <v>5</v>
      </c>
      <c r="R322" s="24" t="s">
        <v>5</v>
      </c>
      <c r="S322" s="24" t="s">
        <v>5</v>
      </c>
      <c r="T322" s="24" t="s">
        <v>5</v>
      </c>
      <c r="U322" s="24" t="s">
        <v>5</v>
      </c>
      <c r="V322" s="24" t="s">
        <v>5</v>
      </c>
      <c r="W322" s="24" t="s">
        <v>5</v>
      </c>
      <c r="X322" s="24" t="s">
        <v>5</v>
      </c>
      <c r="Y322" s="24" t="s">
        <v>5</v>
      </c>
      <c r="Z322" s="24" t="s">
        <v>5</v>
      </c>
      <c r="AA322" s="24" t="s">
        <v>5</v>
      </c>
      <c r="AB322" s="24" t="s">
        <v>5</v>
      </c>
      <c r="AC322" s="24" t="s">
        <v>5</v>
      </c>
      <c r="AD322" s="24" t="s">
        <v>5</v>
      </c>
      <c r="AE322" s="24" t="s">
        <v>5</v>
      </c>
      <c r="AF322" s="24" t="s">
        <v>5</v>
      </c>
      <c r="AG322" s="24" t="s">
        <v>5</v>
      </c>
      <c r="AH322" s="24" t="s">
        <v>5</v>
      </c>
      <c r="AI322" s="24" t="s">
        <v>5</v>
      </c>
      <c r="AJ322" s="24">
        <f t="shared" ref="AJ322:AM322" si="1039">IF(AND(ISBLANK(AJ320),ISBLANK(AJ321)),"A",IFERROR(+MOD(AJ321-AJ320,1),AJ319))</f>
        <v>0.52986111111111101</v>
      </c>
      <c r="AK322" s="24">
        <f t="shared" si="1039"/>
        <v>0.57291666666666674</v>
      </c>
      <c r="AL322" s="24">
        <f t="shared" si="1039"/>
        <v>0.72222222222222232</v>
      </c>
      <c r="AM322" s="24">
        <f t="shared" si="1039"/>
        <v>0.55277777777777781</v>
      </c>
      <c r="AN322" s="20"/>
      <c r="AO322" s="21"/>
    </row>
    <row r="323" spans="1:41">
      <c r="A323" s="57" t="s">
        <v>282</v>
      </c>
      <c r="B323" s="31"/>
      <c r="C323" s="8" t="s">
        <v>311</v>
      </c>
      <c r="D323" s="8" t="s">
        <v>42</v>
      </c>
      <c r="E323" s="8" t="s">
        <v>312</v>
      </c>
      <c r="F323" s="11">
        <v>45989</v>
      </c>
      <c r="G323" s="8" t="s">
        <v>32</v>
      </c>
      <c r="H323" s="12" t="s">
        <v>18</v>
      </c>
      <c r="I323" s="14" t="s">
        <v>4</v>
      </c>
      <c r="J323" s="2" t="s">
        <v>5</v>
      </c>
      <c r="K323" s="2" t="s">
        <v>5</v>
      </c>
      <c r="L323" s="2" t="s">
        <v>5</v>
      </c>
      <c r="M323" s="2" t="s">
        <v>5</v>
      </c>
      <c r="N323" s="2" t="s">
        <v>5</v>
      </c>
      <c r="O323" s="2" t="s">
        <v>5</v>
      </c>
      <c r="P323" s="2" t="s">
        <v>5</v>
      </c>
      <c r="Q323" s="2" t="s">
        <v>5</v>
      </c>
      <c r="R323" s="2" t="s">
        <v>5</v>
      </c>
      <c r="S323" s="2" t="s">
        <v>5</v>
      </c>
      <c r="T323" s="2" t="s">
        <v>5</v>
      </c>
      <c r="U323" s="2" t="s">
        <v>5</v>
      </c>
      <c r="V323" s="2" t="s">
        <v>5</v>
      </c>
      <c r="W323" s="2" t="s">
        <v>5</v>
      </c>
      <c r="X323" s="2" t="s">
        <v>5</v>
      </c>
      <c r="Y323" s="2" t="s">
        <v>5</v>
      </c>
      <c r="Z323" s="2" t="s">
        <v>5</v>
      </c>
      <c r="AA323" s="2" t="s">
        <v>5</v>
      </c>
      <c r="AB323" s="2" t="s">
        <v>5</v>
      </c>
      <c r="AC323" s="2" t="s">
        <v>5</v>
      </c>
      <c r="AD323" s="2" t="s">
        <v>5</v>
      </c>
      <c r="AE323" s="2" t="s">
        <v>5</v>
      </c>
      <c r="AF323" s="2" t="s">
        <v>5</v>
      </c>
      <c r="AG323" s="2" t="s">
        <v>5</v>
      </c>
      <c r="AH323" s="2" t="s">
        <v>5</v>
      </c>
      <c r="AI323" s="2" t="s">
        <v>5</v>
      </c>
      <c r="AJ323" s="2" t="s">
        <v>5</v>
      </c>
      <c r="AK323" s="2" t="s">
        <v>6</v>
      </c>
      <c r="AL323" s="2" t="s">
        <v>6</v>
      </c>
      <c r="AM323" s="2" t="s">
        <v>5</v>
      </c>
      <c r="AN323" s="20"/>
      <c r="AO323" s="12" t="s">
        <v>18</v>
      </c>
    </row>
    <row r="324" spans="1:41">
      <c r="A324" s="57" t="s">
        <v>282</v>
      </c>
      <c r="B324" s="31"/>
      <c r="C324" s="8" t="s">
        <v>311</v>
      </c>
      <c r="D324" s="8" t="s">
        <v>42</v>
      </c>
      <c r="E324" s="8" t="s">
        <v>312</v>
      </c>
      <c r="F324" s="11">
        <v>45989</v>
      </c>
      <c r="G324" s="8" t="s">
        <v>32</v>
      </c>
      <c r="H324" s="12" t="s">
        <v>18</v>
      </c>
      <c r="I324" s="7" t="s">
        <v>7</v>
      </c>
      <c r="J324" s="2" t="s">
        <v>5</v>
      </c>
      <c r="K324" s="2" t="s">
        <v>5</v>
      </c>
      <c r="L324" s="2" t="s">
        <v>5</v>
      </c>
      <c r="M324" s="2" t="s">
        <v>5</v>
      </c>
      <c r="N324" s="2" t="s">
        <v>5</v>
      </c>
      <c r="O324" s="2" t="s">
        <v>5</v>
      </c>
      <c r="P324" s="2" t="s">
        <v>5</v>
      </c>
      <c r="Q324" s="2" t="s">
        <v>5</v>
      </c>
      <c r="R324" s="2" t="s">
        <v>5</v>
      </c>
      <c r="S324" s="2" t="s">
        <v>5</v>
      </c>
      <c r="T324" s="2" t="s">
        <v>5</v>
      </c>
      <c r="U324" s="2" t="s">
        <v>5</v>
      </c>
      <c r="V324" s="2" t="s">
        <v>5</v>
      </c>
      <c r="W324" s="2" t="s">
        <v>5</v>
      </c>
      <c r="X324" s="2" t="s">
        <v>5</v>
      </c>
      <c r="Y324" s="2" t="s">
        <v>5</v>
      </c>
      <c r="Z324" s="2" t="s">
        <v>5</v>
      </c>
      <c r="AA324" s="2" t="s">
        <v>5</v>
      </c>
      <c r="AB324" s="2" t="s">
        <v>5</v>
      </c>
      <c r="AC324" s="2" t="s">
        <v>5</v>
      </c>
      <c r="AD324" s="2" t="s">
        <v>5</v>
      </c>
      <c r="AE324" s="2" t="s">
        <v>5</v>
      </c>
      <c r="AF324" s="2" t="s">
        <v>5</v>
      </c>
      <c r="AG324" s="2" t="s">
        <v>5</v>
      </c>
      <c r="AH324" s="2" t="s">
        <v>5</v>
      </c>
      <c r="AI324" s="2" t="s">
        <v>5</v>
      </c>
      <c r="AJ324" s="2" t="s">
        <v>5</v>
      </c>
      <c r="AK324" s="2">
        <v>0.41666666666666669</v>
      </c>
      <c r="AL324" s="2">
        <v>0.41666666666666669</v>
      </c>
      <c r="AM324" s="2" t="s">
        <v>5</v>
      </c>
      <c r="AN324" s="20"/>
      <c r="AO324" s="12"/>
    </row>
    <row r="325" spans="1:41">
      <c r="A325" s="57" t="s">
        <v>282</v>
      </c>
      <c r="B325" s="31"/>
      <c r="C325" s="8" t="s">
        <v>311</v>
      </c>
      <c r="D325" s="8" t="s">
        <v>42</v>
      </c>
      <c r="E325" s="8" t="s">
        <v>312</v>
      </c>
      <c r="F325" s="11">
        <v>45989</v>
      </c>
      <c r="G325" s="8" t="s">
        <v>32</v>
      </c>
      <c r="H325" s="12" t="s">
        <v>18</v>
      </c>
      <c r="I325" s="7" t="s">
        <v>8</v>
      </c>
      <c r="J325" s="2" t="s">
        <v>5</v>
      </c>
      <c r="K325" s="2" t="s">
        <v>5</v>
      </c>
      <c r="L325" s="2" t="s">
        <v>5</v>
      </c>
      <c r="M325" s="2" t="s">
        <v>5</v>
      </c>
      <c r="N325" s="2" t="s">
        <v>5</v>
      </c>
      <c r="O325" s="2" t="s">
        <v>5</v>
      </c>
      <c r="P325" s="2" t="s">
        <v>5</v>
      </c>
      <c r="Q325" s="2" t="s">
        <v>5</v>
      </c>
      <c r="R325" s="2" t="s">
        <v>5</v>
      </c>
      <c r="S325" s="2" t="s">
        <v>5</v>
      </c>
      <c r="T325" s="2" t="s">
        <v>5</v>
      </c>
      <c r="U325" s="2" t="s">
        <v>5</v>
      </c>
      <c r="V325" s="2" t="s">
        <v>5</v>
      </c>
      <c r="W325" s="2" t="s">
        <v>5</v>
      </c>
      <c r="X325" s="2" t="s">
        <v>5</v>
      </c>
      <c r="Y325" s="2" t="s">
        <v>5</v>
      </c>
      <c r="Z325" s="2" t="s">
        <v>5</v>
      </c>
      <c r="AA325" s="2" t="s">
        <v>5</v>
      </c>
      <c r="AB325" s="2" t="s">
        <v>5</v>
      </c>
      <c r="AC325" s="2" t="s">
        <v>5</v>
      </c>
      <c r="AD325" s="2" t="s">
        <v>5</v>
      </c>
      <c r="AE325" s="2" t="s">
        <v>5</v>
      </c>
      <c r="AF325" s="2" t="s">
        <v>5</v>
      </c>
      <c r="AG325" s="2" t="s">
        <v>5</v>
      </c>
      <c r="AH325" s="2" t="s">
        <v>5</v>
      </c>
      <c r="AI325" s="2" t="s">
        <v>5</v>
      </c>
      <c r="AJ325" s="2" t="s">
        <v>5</v>
      </c>
      <c r="AK325" s="2">
        <v>0.79166666666666663</v>
      </c>
      <c r="AL325" s="2">
        <v>0.75</v>
      </c>
      <c r="AM325" s="2" t="s">
        <v>5</v>
      </c>
      <c r="AN325" s="20"/>
      <c r="AO325" s="12"/>
    </row>
    <row r="326" spans="1:41">
      <c r="A326" s="47" t="s">
        <v>282</v>
      </c>
      <c r="B326" s="31"/>
      <c r="C326" s="21" t="s">
        <v>311</v>
      </c>
      <c r="D326" s="21" t="s">
        <v>42</v>
      </c>
      <c r="E326" s="21" t="s">
        <v>312</v>
      </c>
      <c r="F326" s="22">
        <v>45989</v>
      </c>
      <c r="G326" s="21" t="s">
        <v>32</v>
      </c>
      <c r="H326" s="21" t="s">
        <v>18</v>
      </c>
      <c r="I326" s="25" t="s">
        <v>9</v>
      </c>
      <c r="J326" s="24" t="s">
        <v>5</v>
      </c>
      <c r="K326" s="24" t="s">
        <v>5</v>
      </c>
      <c r="L326" s="24" t="s">
        <v>5</v>
      </c>
      <c r="M326" s="24" t="s">
        <v>5</v>
      </c>
      <c r="N326" s="24" t="s">
        <v>5</v>
      </c>
      <c r="O326" s="24" t="s">
        <v>5</v>
      </c>
      <c r="P326" s="24" t="s">
        <v>5</v>
      </c>
      <c r="Q326" s="24" t="s">
        <v>5</v>
      </c>
      <c r="R326" s="24" t="s">
        <v>5</v>
      </c>
      <c r="S326" s="24" t="s">
        <v>5</v>
      </c>
      <c r="T326" s="24" t="s">
        <v>5</v>
      </c>
      <c r="U326" s="24" t="s">
        <v>5</v>
      </c>
      <c r="V326" s="24" t="s">
        <v>5</v>
      </c>
      <c r="W326" s="24" t="s">
        <v>5</v>
      </c>
      <c r="X326" s="24" t="s">
        <v>5</v>
      </c>
      <c r="Y326" s="24" t="s">
        <v>5</v>
      </c>
      <c r="Z326" s="24" t="s">
        <v>5</v>
      </c>
      <c r="AA326" s="24" t="s">
        <v>5</v>
      </c>
      <c r="AB326" s="24" t="s">
        <v>5</v>
      </c>
      <c r="AC326" s="24" t="s">
        <v>5</v>
      </c>
      <c r="AD326" s="24" t="s">
        <v>5</v>
      </c>
      <c r="AE326" s="24" t="s">
        <v>5</v>
      </c>
      <c r="AF326" s="24" t="s">
        <v>5</v>
      </c>
      <c r="AG326" s="24" t="s">
        <v>5</v>
      </c>
      <c r="AH326" s="24" t="s">
        <v>5</v>
      </c>
      <c r="AI326" s="24" t="s">
        <v>5</v>
      </c>
      <c r="AJ326" s="24" t="s">
        <v>5</v>
      </c>
      <c r="AK326" s="24">
        <f t="shared" ref="AK326:AM326" si="1040">IF(AND(ISBLANK(AK324),ISBLANK(AK325)),"A",IFERROR(+MOD(AK325-AK324,1),AK323))</f>
        <v>0.37499999999999994</v>
      </c>
      <c r="AL326" s="24">
        <f t="shared" si="1040"/>
        <v>0.33333333333333331</v>
      </c>
      <c r="AM326" s="24" t="s">
        <v>5</v>
      </c>
      <c r="AN326" s="20"/>
      <c r="AO326" s="21"/>
    </row>
    <row r="327" spans="1:41">
      <c r="A327" s="1">
        <v>60000329</v>
      </c>
      <c r="B327" s="1" t="s">
        <v>324</v>
      </c>
      <c r="C327" s="8" t="s">
        <v>323</v>
      </c>
      <c r="D327" s="1" t="s">
        <v>324</v>
      </c>
      <c r="E327" s="73" t="s">
        <v>325</v>
      </c>
      <c r="F327" s="72">
        <v>45894</v>
      </c>
      <c r="G327" s="1" t="s">
        <v>96</v>
      </c>
      <c r="H327" s="12" t="s">
        <v>18</v>
      </c>
      <c r="I327" s="14" t="s">
        <v>4</v>
      </c>
      <c r="J327" s="2" t="s">
        <v>6</v>
      </c>
      <c r="K327" s="2" t="s">
        <v>326</v>
      </c>
      <c r="L327" s="2" t="s">
        <v>6</v>
      </c>
      <c r="M327" s="2" t="s">
        <v>6</v>
      </c>
      <c r="N327" s="2" t="s">
        <v>327</v>
      </c>
      <c r="O327" s="2" t="s">
        <v>6</v>
      </c>
      <c r="P327" s="2" t="s">
        <v>6</v>
      </c>
      <c r="Q327" s="2" t="s">
        <v>6</v>
      </c>
      <c r="R327" s="2" t="s">
        <v>326</v>
      </c>
      <c r="S327" s="2" t="s">
        <v>6</v>
      </c>
      <c r="T327" s="2" t="s">
        <v>6</v>
      </c>
      <c r="U327" s="2" t="s">
        <v>6</v>
      </c>
      <c r="V327" s="2" t="s">
        <v>6</v>
      </c>
      <c r="W327" s="2" t="s">
        <v>6</v>
      </c>
      <c r="X327" s="2" t="s">
        <v>6</v>
      </c>
      <c r="Y327" s="2" t="s">
        <v>326</v>
      </c>
      <c r="Z327" s="2" t="s">
        <v>6</v>
      </c>
      <c r="AA327" s="2" t="s">
        <v>6</v>
      </c>
      <c r="AB327" s="2" t="s">
        <v>6</v>
      </c>
      <c r="AC327" s="2" t="s">
        <v>6</v>
      </c>
      <c r="AD327" s="2" t="s">
        <v>6</v>
      </c>
      <c r="AE327" s="2" t="s">
        <v>6</v>
      </c>
      <c r="AF327" s="2" t="s">
        <v>6</v>
      </c>
      <c r="AG327" s="2" t="s">
        <v>6</v>
      </c>
      <c r="AH327" s="2" t="s">
        <v>6</v>
      </c>
      <c r="AI327" s="2" t="s">
        <v>6</v>
      </c>
      <c r="AJ327" s="2" t="s">
        <v>6</v>
      </c>
      <c r="AK327" s="2" t="s">
        <v>6</v>
      </c>
      <c r="AL327" s="2" t="s">
        <v>6</v>
      </c>
      <c r="AM327" s="2" t="s">
        <v>5</v>
      </c>
      <c r="AN327" s="20"/>
      <c r="AO327" s="12" t="s">
        <v>18</v>
      </c>
    </row>
    <row r="328" spans="1:41">
      <c r="A328" s="1">
        <v>60000329</v>
      </c>
      <c r="B328" s="1" t="s">
        <v>324</v>
      </c>
      <c r="C328" s="8" t="s">
        <v>323</v>
      </c>
      <c r="D328" s="1" t="s">
        <v>324</v>
      </c>
      <c r="E328" s="73" t="s">
        <v>325</v>
      </c>
      <c r="F328" s="72">
        <v>45894</v>
      </c>
      <c r="G328" s="1" t="s">
        <v>96</v>
      </c>
      <c r="H328" s="12" t="s">
        <v>18</v>
      </c>
      <c r="I328" s="7" t="s">
        <v>7</v>
      </c>
      <c r="J328" s="2">
        <v>0.375</v>
      </c>
      <c r="K328" s="2" t="s">
        <v>326</v>
      </c>
      <c r="L328" s="2">
        <v>0.35416666666666669</v>
      </c>
      <c r="M328" s="2">
        <v>0.375</v>
      </c>
      <c r="N328" s="2" t="s">
        <v>327</v>
      </c>
      <c r="O328" s="2">
        <v>0.375</v>
      </c>
      <c r="P328" s="2">
        <v>0.375</v>
      </c>
      <c r="Q328" s="2">
        <v>0.375</v>
      </c>
      <c r="R328" s="2" t="s">
        <v>326</v>
      </c>
      <c r="S328" s="2">
        <v>0.375</v>
      </c>
      <c r="T328" s="2">
        <v>0.375</v>
      </c>
      <c r="U328" s="2">
        <v>0.375</v>
      </c>
      <c r="V328" s="2">
        <v>0.375</v>
      </c>
      <c r="W328" s="2">
        <v>0.375</v>
      </c>
      <c r="X328" s="2">
        <v>0.375</v>
      </c>
      <c r="Y328" s="2" t="s">
        <v>326</v>
      </c>
      <c r="Z328" s="2">
        <v>0.34722222222222227</v>
      </c>
      <c r="AA328" s="2">
        <v>0.36805555555555558</v>
      </c>
      <c r="AB328" s="2">
        <v>0.36805555555555558</v>
      </c>
      <c r="AC328" s="2">
        <v>0.39583333333333331</v>
      </c>
      <c r="AD328" s="2">
        <v>0.33333333333333331</v>
      </c>
      <c r="AE328" s="2">
        <v>0.35416666666666669</v>
      </c>
      <c r="AF328" s="2">
        <v>0.36458333333333331</v>
      </c>
      <c r="AG328" s="2">
        <v>0.3611111111111111</v>
      </c>
      <c r="AH328" s="2">
        <v>0.3611111111111111</v>
      </c>
      <c r="AI328" s="2">
        <v>0.36458333333333331</v>
      </c>
      <c r="AJ328" s="2">
        <v>0.32291666666666669</v>
      </c>
      <c r="AK328" s="2">
        <v>0.3611111111111111</v>
      </c>
      <c r="AL328" s="2">
        <v>0.36805555555555558</v>
      </c>
      <c r="AM328" s="2" t="s">
        <v>5</v>
      </c>
      <c r="AN328" s="20"/>
      <c r="AO328" s="12"/>
    </row>
    <row r="329" spans="1:41">
      <c r="A329" s="1">
        <v>60000329</v>
      </c>
      <c r="B329" s="1" t="s">
        <v>324</v>
      </c>
      <c r="C329" s="8" t="s">
        <v>323</v>
      </c>
      <c r="D329" s="1" t="s">
        <v>324</v>
      </c>
      <c r="E329" s="73" t="s">
        <v>325</v>
      </c>
      <c r="F329" s="72">
        <v>45894</v>
      </c>
      <c r="G329" s="1" t="s">
        <v>96</v>
      </c>
      <c r="H329" s="12" t="s">
        <v>18</v>
      </c>
      <c r="I329" s="7" t="s">
        <v>8</v>
      </c>
      <c r="J329" s="2">
        <v>0.76388888888888884</v>
      </c>
      <c r="K329" s="2" t="s">
        <v>326</v>
      </c>
      <c r="L329" s="2">
        <v>0.75</v>
      </c>
      <c r="M329" s="2">
        <v>0.75</v>
      </c>
      <c r="N329" s="2" t="s">
        <v>327</v>
      </c>
      <c r="O329" s="2">
        <v>0.75694444444444453</v>
      </c>
      <c r="P329" s="2">
        <v>0.80555555555555547</v>
      </c>
      <c r="Q329" s="2">
        <v>0.75694444444444453</v>
      </c>
      <c r="R329" s="2" t="s">
        <v>326</v>
      </c>
      <c r="S329" s="2">
        <v>0.75</v>
      </c>
      <c r="T329" s="2">
        <v>0.79166666666666663</v>
      </c>
      <c r="U329" s="2">
        <v>0.80902777777777779</v>
      </c>
      <c r="V329" s="2">
        <v>0.77777777777777779</v>
      </c>
      <c r="W329" s="2">
        <v>0.76388888888888884</v>
      </c>
      <c r="X329" s="2">
        <v>0.80555555555555547</v>
      </c>
      <c r="Y329" s="2" t="s">
        <v>326</v>
      </c>
      <c r="Z329" s="2">
        <v>0.77777777777777779</v>
      </c>
      <c r="AA329" s="2">
        <v>0.75</v>
      </c>
      <c r="AB329" s="2">
        <v>0.78472222222222221</v>
      </c>
      <c r="AC329" s="2">
        <v>0.77083333333333337</v>
      </c>
      <c r="AD329" s="2">
        <v>0.79861111111111116</v>
      </c>
      <c r="AE329" s="2">
        <v>0.78125</v>
      </c>
      <c r="AF329" s="2">
        <v>0.69791666666666663</v>
      </c>
      <c r="AG329" s="2">
        <v>0.84027777777777779</v>
      </c>
      <c r="AH329" s="2">
        <v>0.81944444444444453</v>
      </c>
      <c r="AI329" s="2">
        <v>0.80555555555555547</v>
      </c>
      <c r="AJ329" s="2">
        <v>0.84027777777777779</v>
      </c>
      <c r="AK329" s="2">
        <v>0.73611111111111116</v>
      </c>
      <c r="AL329" s="2">
        <v>0.79861111111111116</v>
      </c>
      <c r="AM329" s="2" t="s">
        <v>5</v>
      </c>
      <c r="AN329" s="20"/>
      <c r="AO329" s="12"/>
    </row>
    <row r="330" spans="1:41">
      <c r="A330" s="21">
        <v>60000329</v>
      </c>
      <c r="B330" s="21" t="s">
        <v>324</v>
      </c>
      <c r="C330" s="21" t="s">
        <v>323</v>
      </c>
      <c r="D330" s="21" t="s">
        <v>324</v>
      </c>
      <c r="E330" s="75" t="s">
        <v>325</v>
      </c>
      <c r="F330" s="74">
        <v>45894</v>
      </c>
      <c r="G330" s="21" t="s">
        <v>96</v>
      </c>
      <c r="H330" s="21" t="s">
        <v>18</v>
      </c>
      <c r="I330" s="25" t="s">
        <v>9</v>
      </c>
      <c r="J330" s="24">
        <f t="shared" ref="J330:AL330" si="1041">IF(AND(ISBLANK(J328),ISBLANK(J329)),"A",IFERROR(+MOD(J329-J328,1),J327))</f>
        <v>0.38888888888888884</v>
      </c>
      <c r="K330" s="24" t="str">
        <f t="shared" si="1041"/>
        <v>W/OFF</v>
      </c>
      <c r="L330" s="24">
        <f t="shared" si="1041"/>
        <v>0.39583333333333331</v>
      </c>
      <c r="M330" s="24">
        <f t="shared" si="1041"/>
        <v>0.375</v>
      </c>
      <c r="N330" s="24" t="s">
        <v>327</v>
      </c>
      <c r="O330" s="24">
        <f t="shared" si="1041"/>
        <v>0.38194444444444453</v>
      </c>
      <c r="P330" s="24">
        <f t="shared" si="1041"/>
        <v>0.43055555555555547</v>
      </c>
      <c r="Q330" s="24">
        <f t="shared" si="1041"/>
        <v>0.38194444444444453</v>
      </c>
      <c r="R330" s="24" t="str">
        <f t="shared" si="1041"/>
        <v>W/OFF</v>
      </c>
      <c r="S330" s="24">
        <f t="shared" si="1041"/>
        <v>0.375</v>
      </c>
      <c r="T330" s="24">
        <f t="shared" si="1041"/>
        <v>0.41666666666666663</v>
      </c>
      <c r="U330" s="24">
        <f t="shared" si="1041"/>
        <v>0.43402777777777779</v>
      </c>
      <c r="V330" s="24">
        <f t="shared" si="1041"/>
        <v>0.40277777777777779</v>
      </c>
      <c r="W330" s="24">
        <f t="shared" si="1041"/>
        <v>0.38888888888888884</v>
      </c>
      <c r="X330" s="24">
        <f t="shared" si="1041"/>
        <v>0.43055555555555547</v>
      </c>
      <c r="Y330" s="24" t="s">
        <v>326</v>
      </c>
      <c r="Z330" s="24">
        <f t="shared" si="1041"/>
        <v>0.43055555555555552</v>
      </c>
      <c r="AA330" s="24">
        <f t="shared" si="1041"/>
        <v>0.38194444444444442</v>
      </c>
      <c r="AB330" s="24">
        <f t="shared" si="1041"/>
        <v>0.41666666666666663</v>
      </c>
      <c r="AC330" s="24">
        <f t="shared" si="1041"/>
        <v>0.37500000000000006</v>
      </c>
      <c r="AD330" s="24">
        <f t="shared" si="1041"/>
        <v>0.46527777777777785</v>
      </c>
      <c r="AE330" s="24">
        <f t="shared" si="1041"/>
        <v>0.42708333333333331</v>
      </c>
      <c r="AF330" s="24">
        <f t="shared" si="1041"/>
        <v>0.33333333333333331</v>
      </c>
      <c r="AG330" s="24">
        <f t="shared" si="1041"/>
        <v>0.47916666666666669</v>
      </c>
      <c r="AH330" s="24">
        <f t="shared" si="1041"/>
        <v>0.45833333333333343</v>
      </c>
      <c r="AI330" s="24">
        <f t="shared" si="1041"/>
        <v>0.44097222222222215</v>
      </c>
      <c r="AJ330" s="24">
        <f t="shared" si="1041"/>
        <v>0.51736111111111116</v>
      </c>
      <c r="AK330" s="24">
        <f t="shared" si="1041"/>
        <v>0.37500000000000006</v>
      </c>
      <c r="AL330" s="24">
        <f t="shared" si="1041"/>
        <v>0.43055555555555558</v>
      </c>
      <c r="AM330" s="24" t="s">
        <v>5</v>
      </c>
      <c r="AN330" s="20"/>
      <c r="AO330" s="21"/>
    </row>
  </sheetData>
  <mergeCells count="1">
    <mergeCell ref="A1:E1"/>
  </mergeCells>
  <conditionalFormatting sqref="A327">
    <cfRule type="duplicateValues" dxfId="7" priority="4"/>
  </conditionalFormatting>
  <conditionalFormatting sqref="A328">
    <cfRule type="duplicateValues" dxfId="5" priority="3"/>
  </conditionalFormatting>
  <conditionalFormatting sqref="A329">
    <cfRule type="duplicateValues" dxfId="3" priority="2"/>
  </conditionalFormatting>
  <conditionalFormatting sqref="A330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"/>
  <sheetViews>
    <sheetView workbookViewId="0">
      <selection activeCell="L3" sqref="L3"/>
    </sheetView>
  </sheetViews>
  <sheetFormatPr defaultRowHeight="14"/>
  <cols>
    <col min="1" max="1" width="7.4140625" bestFit="1" customWidth="1"/>
    <col min="2" max="2" width="3.6640625" bestFit="1" customWidth="1"/>
    <col min="3" max="3" width="5.58203125" bestFit="1" customWidth="1"/>
    <col min="4" max="4" width="9.08203125" bestFit="1" customWidth="1"/>
    <col min="5" max="5" width="8.25" bestFit="1" customWidth="1"/>
    <col min="6" max="6" width="6" bestFit="1" customWidth="1"/>
    <col min="7" max="7" width="5.4140625" bestFit="1" customWidth="1"/>
    <col min="8" max="8" width="3.75" bestFit="1" customWidth="1"/>
    <col min="9" max="10" width="5.58203125" bestFit="1" customWidth="1"/>
    <col min="11" max="19" width="4.33203125" bestFit="1" customWidth="1"/>
    <col min="20" max="40" width="5.08203125" bestFit="1" customWidth="1"/>
    <col min="41" max="41" width="4.9140625" bestFit="1" customWidth="1"/>
  </cols>
  <sheetData>
    <row r="1" spans="1:41" ht="24">
      <c r="A1" s="63" t="s">
        <v>0</v>
      </c>
      <c r="B1" s="63" t="s">
        <v>314</v>
      </c>
      <c r="C1" s="63" t="s">
        <v>27</v>
      </c>
      <c r="D1" s="63" t="s">
        <v>1</v>
      </c>
      <c r="E1" s="63" t="s">
        <v>2</v>
      </c>
      <c r="F1" s="63" t="s">
        <v>33</v>
      </c>
      <c r="G1" s="63" t="s">
        <v>3</v>
      </c>
      <c r="H1" s="63" t="s">
        <v>315</v>
      </c>
      <c r="I1" s="63" t="s">
        <v>4</v>
      </c>
      <c r="J1" s="63" t="s">
        <v>4</v>
      </c>
      <c r="K1" s="64">
        <v>45901</v>
      </c>
      <c r="L1" s="64">
        <v>45902</v>
      </c>
      <c r="M1" s="64">
        <v>45903</v>
      </c>
      <c r="N1" s="64">
        <v>45904</v>
      </c>
      <c r="O1" s="64">
        <v>45905</v>
      </c>
      <c r="P1" s="64">
        <v>45906</v>
      </c>
      <c r="Q1" s="64">
        <v>45907</v>
      </c>
      <c r="R1" s="64">
        <v>45908</v>
      </c>
      <c r="S1" s="64">
        <v>45909</v>
      </c>
      <c r="T1" s="64">
        <v>45910</v>
      </c>
      <c r="U1" s="64">
        <v>45911</v>
      </c>
      <c r="V1" s="64">
        <v>45912</v>
      </c>
      <c r="W1" s="64">
        <v>45913</v>
      </c>
      <c r="X1" s="64">
        <v>45914</v>
      </c>
      <c r="Y1" s="64">
        <v>45915</v>
      </c>
      <c r="Z1" s="64">
        <v>45916</v>
      </c>
      <c r="AA1" s="64">
        <v>45917</v>
      </c>
      <c r="AB1" s="64">
        <v>45918</v>
      </c>
      <c r="AC1" s="64">
        <v>45919</v>
      </c>
      <c r="AD1" s="64">
        <v>45920</v>
      </c>
      <c r="AE1" s="64">
        <v>45921</v>
      </c>
      <c r="AF1" s="64">
        <v>45922</v>
      </c>
      <c r="AG1" s="64">
        <v>45923</v>
      </c>
      <c r="AH1" s="64">
        <v>45924</v>
      </c>
      <c r="AI1" s="64">
        <v>45925</v>
      </c>
      <c r="AJ1" s="64">
        <v>45926</v>
      </c>
      <c r="AK1" s="64">
        <v>45927</v>
      </c>
      <c r="AL1" s="64">
        <v>45928</v>
      </c>
      <c r="AM1" s="64">
        <v>45929</v>
      </c>
      <c r="AN1" s="64">
        <v>45930</v>
      </c>
      <c r="AO1" s="65" t="s">
        <v>316</v>
      </c>
    </row>
    <row r="2" spans="1:41">
      <c r="A2" s="8" t="s">
        <v>317</v>
      </c>
      <c r="B2" s="8" t="s">
        <v>318</v>
      </c>
      <c r="C2" s="8" t="s">
        <v>319</v>
      </c>
      <c r="D2" s="8" t="s">
        <v>42</v>
      </c>
      <c r="E2" s="10" t="s">
        <v>320</v>
      </c>
      <c r="F2" s="11">
        <v>45873</v>
      </c>
      <c r="G2" s="8" t="s">
        <v>32</v>
      </c>
      <c r="H2" s="8"/>
      <c r="I2" s="8" t="s">
        <v>18</v>
      </c>
      <c r="J2" s="14" t="s">
        <v>4</v>
      </c>
      <c r="K2" s="2"/>
      <c r="L2" s="2" t="s">
        <v>6</v>
      </c>
      <c r="M2" s="2" t="s">
        <v>6</v>
      </c>
      <c r="N2" s="2" t="s">
        <v>6</v>
      </c>
      <c r="O2" s="2" t="s">
        <v>6</v>
      </c>
      <c r="P2" s="2" t="s">
        <v>6</v>
      </c>
      <c r="Q2" s="2" t="s">
        <v>6</v>
      </c>
      <c r="R2" s="2" t="s">
        <v>6</v>
      </c>
      <c r="S2" s="2" t="s">
        <v>6</v>
      </c>
      <c r="T2" s="2" t="s">
        <v>5</v>
      </c>
      <c r="U2" s="2" t="s">
        <v>5</v>
      </c>
      <c r="V2" s="2" t="s">
        <v>5</v>
      </c>
      <c r="W2" s="2" t="s">
        <v>5</v>
      </c>
      <c r="X2" s="2" t="s">
        <v>5</v>
      </c>
      <c r="Y2" s="2" t="s">
        <v>5</v>
      </c>
      <c r="Z2" s="2" t="s">
        <v>5</v>
      </c>
      <c r="AA2" s="2" t="s">
        <v>5</v>
      </c>
      <c r="AB2" s="2" t="s">
        <v>5</v>
      </c>
      <c r="AC2" s="2" t="s">
        <v>5</v>
      </c>
      <c r="AD2" s="2" t="s">
        <v>5</v>
      </c>
      <c r="AE2" s="2" t="s">
        <v>5</v>
      </c>
      <c r="AF2" s="2" t="s">
        <v>5</v>
      </c>
      <c r="AG2" s="2" t="s">
        <v>5</v>
      </c>
      <c r="AH2" s="2" t="s">
        <v>5</v>
      </c>
      <c r="AI2" s="2" t="s">
        <v>5</v>
      </c>
      <c r="AJ2" s="2" t="s">
        <v>5</v>
      </c>
      <c r="AK2" s="2" t="s">
        <v>5</v>
      </c>
      <c r="AL2" s="2" t="s">
        <v>5</v>
      </c>
      <c r="AM2" s="2" t="s">
        <v>5</v>
      </c>
      <c r="AN2" s="2" t="s">
        <v>5</v>
      </c>
      <c r="AO2" s="66">
        <v>8</v>
      </c>
    </row>
    <row r="3" spans="1:41">
      <c r="A3" s="1" t="s">
        <v>317</v>
      </c>
      <c r="B3" s="1" t="s">
        <v>318</v>
      </c>
      <c r="C3" s="3" t="s">
        <v>319</v>
      </c>
      <c r="D3" s="3" t="s">
        <v>42</v>
      </c>
      <c r="E3" s="1" t="s">
        <v>320</v>
      </c>
      <c r="F3" s="6">
        <v>45873</v>
      </c>
      <c r="G3" s="5" t="s">
        <v>32</v>
      </c>
      <c r="H3" s="5"/>
      <c r="I3" s="8" t="s">
        <v>18</v>
      </c>
      <c r="J3" s="7" t="s">
        <v>7</v>
      </c>
      <c r="K3" s="2"/>
      <c r="L3" s="2">
        <v>0.375</v>
      </c>
      <c r="M3" s="2">
        <v>0.375</v>
      </c>
      <c r="N3" s="2">
        <v>0.375</v>
      </c>
      <c r="O3" s="2">
        <v>0.375</v>
      </c>
      <c r="P3" s="2">
        <v>0.375</v>
      </c>
      <c r="Q3" s="2">
        <v>0.375</v>
      </c>
      <c r="R3" s="2">
        <v>0.375</v>
      </c>
      <c r="S3" s="2">
        <v>0.375</v>
      </c>
      <c r="T3" s="2" t="s">
        <v>5</v>
      </c>
      <c r="U3" s="2" t="s">
        <v>5</v>
      </c>
      <c r="V3" s="2" t="s">
        <v>5</v>
      </c>
      <c r="W3" s="2" t="s">
        <v>5</v>
      </c>
      <c r="X3" s="2" t="s">
        <v>5</v>
      </c>
      <c r="Y3" s="2" t="s">
        <v>5</v>
      </c>
      <c r="Z3" s="2" t="s">
        <v>5</v>
      </c>
      <c r="AA3" s="2" t="s">
        <v>5</v>
      </c>
      <c r="AB3" s="2" t="s">
        <v>5</v>
      </c>
      <c r="AC3" s="2" t="s">
        <v>5</v>
      </c>
      <c r="AD3" s="2" t="s">
        <v>5</v>
      </c>
      <c r="AE3" s="2" t="s">
        <v>5</v>
      </c>
      <c r="AF3" s="2" t="s">
        <v>5</v>
      </c>
      <c r="AG3" s="2" t="s">
        <v>5</v>
      </c>
      <c r="AH3" s="2" t="s">
        <v>5</v>
      </c>
      <c r="AI3" s="2" t="s">
        <v>5</v>
      </c>
      <c r="AJ3" s="2" t="s">
        <v>5</v>
      </c>
      <c r="AK3" s="2" t="s">
        <v>5</v>
      </c>
      <c r="AL3" s="2" t="s">
        <v>5</v>
      </c>
      <c r="AM3" s="2" t="s">
        <v>5</v>
      </c>
      <c r="AN3" s="2" t="s">
        <v>5</v>
      </c>
      <c r="AO3" s="31"/>
    </row>
    <row r="4" spans="1:41">
      <c r="A4" s="1" t="s">
        <v>317</v>
      </c>
      <c r="B4" s="1" t="s">
        <v>318</v>
      </c>
      <c r="C4" s="1" t="s">
        <v>319</v>
      </c>
      <c r="D4" s="1" t="s">
        <v>42</v>
      </c>
      <c r="E4" s="1" t="s">
        <v>320</v>
      </c>
      <c r="F4" s="6">
        <v>45873</v>
      </c>
      <c r="G4" s="1" t="s">
        <v>32</v>
      </c>
      <c r="H4" s="1"/>
      <c r="I4" s="8" t="s">
        <v>18</v>
      </c>
      <c r="J4" s="7" t="s">
        <v>8</v>
      </c>
      <c r="K4" s="2"/>
      <c r="L4" s="2">
        <v>0.75</v>
      </c>
      <c r="M4" s="2">
        <v>0.83333333333333337</v>
      </c>
      <c r="N4" s="2">
        <v>0.79166666666666663</v>
      </c>
      <c r="O4" s="2">
        <v>0.79166666666666663</v>
      </c>
      <c r="P4" s="2">
        <v>0.79166666666666663</v>
      </c>
      <c r="Q4" s="2">
        <v>0.79166666666666663</v>
      </c>
      <c r="R4" s="2">
        <v>0.79166666666666663</v>
      </c>
      <c r="S4" s="2">
        <v>0.79166666666666663</v>
      </c>
      <c r="T4" s="2" t="s">
        <v>5</v>
      </c>
      <c r="U4" s="2" t="s">
        <v>5</v>
      </c>
      <c r="V4" s="2" t="s">
        <v>5</v>
      </c>
      <c r="W4" s="2" t="s">
        <v>5</v>
      </c>
      <c r="X4" s="2" t="s">
        <v>5</v>
      </c>
      <c r="Y4" s="2" t="s">
        <v>5</v>
      </c>
      <c r="Z4" s="2" t="s">
        <v>5</v>
      </c>
      <c r="AA4" s="2" t="s">
        <v>5</v>
      </c>
      <c r="AB4" s="2" t="s">
        <v>5</v>
      </c>
      <c r="AC4" s="2" t="s">
        <v>5</v>
      </c>
      <c r="AD4" s="2" t="s">
        <v>5</v>
      </c>
      <c r="AE4" s="2" t="s">
        <v>5</v>
      </c>
      <c r="AF4" s="2" t="s">
        <v>5</v>
      </c>
      <c r="AG4" s="2" t="s">
        <v>5</v>
      </c>
      <c r="AH4" s="2" t="s">
        <v>5</v>
      </c>
      <c r="AI4" s="2" t="s">
        <v>5</v>
      </c>
      <c r="AJ4" s="2" t="s">
        <v>5</v>
      </c>
      <c r="AK4" s="2" t="s">
        <v>5</v>
      </c>
      <c r="AL4" s="2" t="s">
        <v>5</v>
      </c>
      <c r="AM4" s="2" t="s">
        <v>5</v>
      </c>
      <c r="AN4" s="2" t="s">
        <v>5</v>
      </c>
      <c r="AO4" s="31"/>
    </row>
    <row r="5" spans="1:41">
      <c r="A5" s="67" t="s">
        <v>317</v>
      </c>
      <c r="B5" s="67" t="s">
        <v>318</v>
      </c>
      <c r="C5" s="67" t="s">
        <v>319</v>
      </c>
      <c r="D5" s="67" t="s">
        <v>42</v>
      </c>
      <c r="E5" s="67" t="s">
        <v>320</v>
      </c>
      <c r="F5" s="68">
        <v>45873</v>
      </c>
      <c r="G5" s="67" t="s">
        <v>32</v>
      </c>
      <c r="H5" s="67"/>
      <c r="I5" s="67" t="s">
        <v>18</v>
      </c>
      <c r="J5" s="69" t="s">
        <v>9</v>
      </c>
      <c r="K5" s="70"/>
      <c r="L5" s="70">
        <v>0.375</v>
      </c>
      <c r="M5" s="70">
        <v>0.45833333333333337</v>
      </c>
      <c r="N5" s="70">
        <v>0.41666666666666663</v>
      </c>
      <c r="O5" s="70">
        <v>0.41666666666666663</v>
      </c>
      <c r="P5" s="70">
        <v>0.41666666666666663</v>
      </c>
      <c r="Q5" s="70">
        <v>0.41666666666666663</v>
      </c>
      <c r="R5" s="70">
        <v>0.41666666666666663</v>
      </c>
      <c r="S5" s="70">
        <v>0.41666666666666663</v>
      </c>
      <c r="T5" s="70" t="s">
        <v>5</v>
      </c>
      <c r="U5" s="70" t="s">
        <v>5</v>
      </c>
      <c r="V5" s="70" t="s">
        <v>5</v>
      </c>
      <c r="W5" s="70" t="s">
        <v>5</v>
      </c>
      <c r="X5" s="70" t="s">
        <v>5</v>
      </c>
      <c r="Y5" s="70" t="s">
        <v>5</v>
      </c>
      <c r="Z5" s="70" t="s">
        <v>5</v>
      </c>
      <c r="AA5" s="70" t="s">
        <v>5</v>
      </c>
      <c r="AB5" s="70" t="s">
        <v>5</v>
      </c>
      <c r="AC5" s="70" t="s">
        <v>5</v>
      </c>
      <c r="AD5" s="70" t="s">
        <v>5</v>
      </c>
      <c r="AE5" s="70" t="s">
        <v>5</v>
      </c>
      <c r="AF5" s="70" t="s">
        <v>5</v>
      </c>
      <c r="AG5" s="70" t="s">
        <v>5</v>
      </c>
      <c r="AH5" s="70" t="s">
        <v>5</v>
      </c>
      <c r="AI5" s="70" t="s">
        <v>5</v>
      </c>
      <c r="AJ5" s="70" t="s">
        <v>5</v>
      </c>
      <c r="AK5" s="70" t="s">
        <v>5</v>
      </c>
      <c r="AL5" s="70" t="s">
        <v>5</v>
      </c>
      <c r="AM5" s="70" t="s">
        <v>5</v>
      </c>
      <c r="AN5" s="70" t="s">
        <v>5</v>
      </c>
      <c r="AO5" s="71"/>
    </row>
    <row r="6" spans="1:41">
      <c r="A6" s="8" t="s">
        <v>321</v>
      </c>
      <c r="B6" s="8" t="s">
        <v>318</v>
      </c>
      <c r="C6" s="8" t="s">
        <v>50</v>
      </c>
      <c r="D6" s="8" t="s">
        <v>42</v>
      </c>
      <c r="E6" s="8" t="s">
        <v>322</v>
      </c>
      <c r="F6" s="11">
        <v>45901</v>
      </c>
      <c r="G6" s="8" t="s">
        <v>32</v>
      </c>
      <c r="H6" s="8"/>
      <c r="I6" s="8" t="s">
        <v>17</v>
      </c>
      <c r="J6" s="14" t="s">
        <v>4</v>
      </c>
      <c r="K6" s="2" t="s">
        <v>6</v>
      </c>
      <c r="L6" s="2" t="s">
        <v>6</v>
      </c>
      <c r="M6" s="2" t="s">
        <v>5</v>
      </c>
      <c r="N6" s="2" t="s">
        <v>5</v>
      </c>
      <c r="O6" s="2" t="s">
        <v>5</v>
      </c>
      <c r="P6" s="2" t="s">
        <v>5</v>
      </c>
      <c r="Q6" s="2" t="s">
        <v>6</v>
      </c>
      <c r="R6" s="2" t="s">
        <v>6</v>
      </c>
      <c r="S6" s="2" t="s">
        <v>6</v>
      </c>
      <c r="T6" s="2" t="s">
        <v>5</v>
      </c>
      <c r="U6" s="2" t="s">
        <v>5</v>
      </c>
      <c r="V6" s="2" t="s">
        <v>5</v>
      </c>
      <c r="W6" s="2" t="s">
        <v>5</v>
      </c>
      <c r="X6" s="2" t="s">
        <v>5</v>
      </c>
      <c r="Y6" s="2" t="s">
        <v>5</v>
      </c>
      <c r="Z6" s="2" t="s">
        <v>5</v>
      </c>
      <c r="AA6" s="2" t="s">
        <v>5</v>
      </c>
      <c r="AB6" s="2" t="s">
        <v>5</v>
      </c>
      <c r="AC6" s="2" t="s">
        <v>5</v>
      </c>
      <c r="AD6" s="2" t="s">
        <v>5</v>
      </c>
      <c r="AE6" s="2" t="s">
        <v>5</v>
      </c>
      <c r="AF6" s="2" t="s">
        <v>5</v>
      </c>
      <c r="AG6" s="2" t="s">
        <v>5</v>
      </c>
      <c r="AH6" s="2" t="s">
        <v>5</v>
      </c>
      <c r="AI6" s="2" t="s">
        <v>5</v>
      </c>
      <c r="AJ6" s="2" t="s">
        <v>5</v>
      </c>
      <c r="AK6" s="2" t="s">
        <v>5</v>
      </c>
      <c r="AL6" s="2" t="s">
        <v>5</v>
      </c>
      <c r="AM6" s="2" t="s">
        <v>5</v>
      </c>
      <c r="AN6" s="2" t="s">
        <v>5</v>
      </c>
      <c r="AO6" s="66">
        <v>5</v>
      </c>
    </row>
    <row r="7" spans="1:41">
      <c r="A7" s="1" t="s">
        <v>321</v>
      </c>
      <c r="B7" s="1" t="s">
        <v>318</v>
      </c>
      <c r="C7" s="3" t="s">
        <v>50</v>
      </c>
      <c r="D7" s="3" t="s">
        <v>42</v>
      </c>
      <c r="E7" s="3" t="s">
        <v>322</v>
      </c>
      <c r="F7" s="6">
        <v>45901</v>
      </c>
      <c r="G7" s="5" t="s">
        <v>32</v>
      </c>
      <c r="H7" s="5"/>
      <c r="I7" s="5" t="s">
        <v>17</v>
      </c>
      <c r="J7" s="7" t="s">
        <v>7</v>
      </c>
      <c r="K7" s="2">
        <v>0.375</v>
      </c>
      <c r="L7" s="2">
        <v>0.375</v>
      </c>
      <c r="M7" s="2" t="s">
        <v>5</v>
      </c>
      <c r="N7" s="2" t="s">
        <v>5</v>
      </c>
      <c r="O7" s="2" t="s">
        <v>5</v>
      </c>
      <c r="P7" s="2" t="s">
        <v>5</v>
      </c>
      <c r="Q7" s="2">
        <v>0.375</v>
      </c>
      <c r="R7" s="2">
        <v>0.375</v>
      </c>
      <c r="S7" s="2">
        <v>0.375</v>
      </c>
      <c r="T7" s="2" t="s">
        <v>5</v>
      </c>
      <c r="U7" s="2" t="s">
        <v>5</v>
      </c>
      <c r="V7" s="2" t="s">
        <v>5</v>
      </c>
      <c r="W7" s="2" t="s">
        <v>5</v>
      </c>
      <c r="X7" s="2" t="s">
        <v>5</v>
      </c>
      <c r="Y7" s="2" t="s">
        <v>5</v>
      </c>
      <c r="Z7" s="2" t="s">
        <v>5</v>
      </c>
      <c r="AA7" s="2" t="s">
        <v>5</v>
      </c>
      <c r="AB7" s="2" t="s">
        <v>5</v>
      </c>
      <c r="AC7" s="2" t="s">
        <v>5</v>
      </c>
      <c r="AD7" s="2" t="s">
        <v>5</v>
      </c>
      <c r="AE7" s="2" t="s">
        <v>5</v>
      </c>
      <c r="AF7" s="2" t="s">
        <v>5</v>
      </c>
      <c r="AG7" s="2" t="s">
        <v>5</v>
      </c>
      <c r="AH7" s="2" t="s">
        <v>5</v>
      </c>
      <c r="AI7" s="2" t="s">
        <v>5</v>
      </c>
      <c r="AJ7" s="2" t="s">
        <v>5</v>
      </c>
      <c r="AK7" s="2" t="s">
        <v>5</v>
      </c>
      <c r="AL7" s="2" t="s">
        <v>5</v>
      </c>
      <c r="AM7" s="2" t="s">
        <v>5</v>
      </c>
      <c r="AN7" s="2" t="s">
        <v>5</v>
      </c>
      <c r="AO7" s="31"/>
    </row>
    <row r="8" spans="1:41">
      <c r="A8" s="1" t="s">
        <v>321</v>
      </c>
      <c r="B8" s="1" t="s">
        <v>318</v>
      </c>
      <c r="C8" s="1" t="s">
        <v>50</v>
      </c>
      <c r="D8" s="1" t="s">
        <v>42</v>
      </c>
      <c r="E8" s="1" t="s">
        <v>322</v>
      </c>
      <c r="F8" s="6">
        <v>45901</v>
      </c>
      <c r="G8" s="1" t="s">
        <v>32</v>
      </c>
      <c r="H8" s="1"/>
      <c r="I8" s="1" t="s">
        <v>17</v>
      </c>
      <c r="J8" s="7" t="s">
        <v>8</v>
      </c>
      <c r="K8" s="2">
        <v>0.83333333333333337</v>
      </c>
      <c r="L8" s="2">
        <v>0.83333333333333337</v>
      </c>
      <c r="M8" s="2" t="s">
        <v>5</v>
      </c>
      <c r="N8" s="2" t="s">
        <v>5</v>
      </c>
      <c r="O8" s="2" t="s">
        <v>5</v>
      </c>
      <c r="P8" s="2" t="s">
        <v>5</v>
      </c>
      <c r="Q8" s="2">
        <v>0.79166666666666663</v>
      </c>
      <c r="R8" s="2">
        <v>0.79166666666666663</v>
      </c>
      <c r="S8" s="2">
        <v>0.79166666666666663</v>
      </c>
      <c r="T8" s="2" t="s">
        <v>5</v>
      </c>
      <c r="U8" s="2" t="s">
        <v>5</v>
      </c>
      <c r="V8" s="2" t="s">
        <v>5</v>
      </c>
      <c r="W8" s="2" t="s">
        <v>5</v>
      </c>
      <c r="X8" s="2" t="s">
        <v>5</v>
      </c>
      <c r="Y8" s="2" t="s">
        <v>5</v>
      </c>
      <c r="Z8" s="2" t="s">
        <v>5</v>
      </c>
      <c r="AA8" s="2" t="s">
        <v>5</v>
      </c>
      <c r="AB8" s="2" t="s">
        <v>5</v>
      </c>
      <c r="AC8" s="2" t="s">
        <v>5</v>
      </c>
      <c r="AD8" s="2" t="s">
        <v>5</v>
      </c>
      <c r="AE8" s="2" t="s">
        <v>5</v>
      </c>
      <c r="AF8" s="2" t="s">
        <v>5</v>
      </c>
      <c r="AG8" s="2" t="s">
        <v>5</v>
      </c>
      <c r="AH8" s="2" t="s">
        <v>5</v>
      </c>
      <c r="AI8" s="2" t="s">
        <v>5</v>
      </c>
      <c r="AJ8" s="2" t="s">
        <v>5</v>
      </c>
      <c r="AK8" s="2" t="s">
        <v>5</v>
      </c>
      <c r="AL8" s="2" t="s">
        <v>5</v>
      </c>
      <c r="AM8" s="2" t="s">
        <v>5</v>
      </c>
      <c r="AN8" s="2" t="s">
        <v>5</v>
      </c>
      <c r="AO8" s="31"/>
    </row>
    <row r="9" spans="1:41">
      <c r="A9" s="67" t="s">
        <v>321</v>
      </c>
      <c r="B9" s="67" t="s">
        <v>318</v>
      </c>
      <c r="C9" s="67" t="s">
        <v>50</v>
      </c>
      <c r="D9" s="67" t="s">
        <v>42</v>
      </c>
      <c r="E9" s="67" t="s">
        <v>322</v>
      </c>
      <c r="F9" s="68">
        <v>45901</v>
      </c>
      <c r="G9" s="67" t="s">
        <v>32</v>
      </c>
      <c r="H9" s="67"/>
      <c r="I9" s="67" t="s">
        <v>17</v>
      </c>
      <c r="J9" s="69" t="s">
        <v>9</v>
      </c>
      <c r="K9" s="70">
        <v>0.45833333333333337</v>
      </c>
      <c r="L9" s="70">
        <v>0.45833333333333337</v>
      </c>
      <c r="M9" s="70" t="s">
        <v>5</v>
      </c>
      <c r="N9" s="70" t="s">
        <v>5</v>
      </c>
      <c r="O9" s="70" t="s">
        <v>5</v>
      </c>
      <c r="P9" s="70" t="s">
        <v>5</v>
      </c>
      <c r="Q9" s="70">
        <v>0.41666666666666663</v>
      </c>
      <c r="R9" s="70">
        <v>0.41666666666666663</v>
      </c>
      <c r="S9" s="70">
        <v>0.41666666666666663</v>
      </c>
      <c r="T9" s="70" t="s">
        <v>5</v>
      </c>
      <c r="U9" s="70" t="s">
        <v>5</v>
      </c>
      <c r="V9" s="70" t="s">
        <v>5</v>
      </c>
      <c r="W9" s="70" t="s">
        <v>5</v>
      </c>
      <c r="X9" s="70" t="s">
        <v>5</v>
      </c>
      <c r="Y9" s="70" t="s">
        <v>5</v>
      </c>
      <c r="Z9" s="70" t="s">
        <v>5</v>
      </c>
      <c r="AA9" s="70" t="s">
        <v>5</v>
      </c>
      <c r="AB9" s="70" t="s">
        <v>5</v>
      </c>
      <c r="AC9" s="70" t="s">
        <v>5</v>
      </c>
      <c r="AD9" s="70" t="s">
        <v>5</v>
      </c>
      <c r="AE9" s="70" t="s">
        <v>5</v>
      </c>
      <c r="AF9" s="70" t="s">
        <v>5</v>
      </c>
      <c r="AG9" s="70" t="s">
        <v>5</v>
      </c>
      <c r="AH9" s="70" t="s">
        <v>5</v>
      </c>
      <c r="AI9" s="70" t="s">
        <v>5</v>
      </c>
      <c r="AJ9" s="70" t="s">
        <v>5</v>
      </c>
      <c r="AK9" s="70" t="s">
        <v>5</v>
      </c>
      <c r="AL9" s="70" t="s">
        <v>5</v>
      </c>
      <c r="AM9" s="70" t="s">
        <v>5</v>
      </c>
      <c r="AN9" s="70" t="s">
        <v>5</v>
      </c>
      <c r="AO9" s="7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1"/>
  <sheetViews>
    <sheetView workbookViewId="0">
      <selection activeCell="N3" sqref="N3"/>
    </sheetView>
  </sheetViews>
  <sheetFormatPr defaultRowHeight="14"/>
  <cols>
    <col min="1" max="1" width="10.25" bestFit="1" customWidth="1"/>
    <col min="2" max="2" width="9.08203125" bestFit="1" customWidth="1"/>
    <col min="3" max="3" width="5.1640625" bestFit="1" customWidth="1"/>
    <col min="4" max="4" width="5.83203125" bestFit="1" customWidth="1"/>
    <col min="5" max="5" width="6.33203125" bestFit="1" customWidth="1"/>
    <col min="6" max="6" width="4.08203125" bestFit="1" customWidth="1"/>
    <col min="7" max="7" width="6" bestFit="1" customWidth="1"/>
    <col min="8" max="8" width="16.08203125" bestFit="1" customWidth="1"/>
    <col min="9" max="9" width="10.4140625" bestFit="1" customWidth="1"/>
    <col min="11" max="11" width="11.33203125" bestFit="1" customWidth="1"/>
    <col min="12" max="13" width="6.4140625" customWidth="1"/>
    <col min="14" max="14" width="25.5" bestFit="1" customWidth="1"/>
    <col min="15" max="15" width="14.1640625" bestFit="1" customWidth="1"/>
    <col min="16" max="16" width="23.1640625" bestFit="1" customWidth="1"/>
    <col min="17" max="17" width="12.25" bestFit="1" customWidth="1"/>
    <col min="18" max="18" width="14.6640625" bestFit="1" customWidth="1"/>
    <col min="24" max="24" width="25.5" bestFit="1" customWidth="1"/>
    <col min="25" max="25" width="14.6640625" bestFit="1" customWidth="1"/>
    <col min="26" max="26" width="23.1640625" bestFit="1" customWidth="1"/>
    <col min="27" max="27" width="12.25" bestFit="1" customWidth="1"/>
    <col min="28" max="28" width="14.6640625" bestFit="1" customWidth="1"/>
  </cols>
  <sheetData>
    <row r="1" spans="1:28" ht="14.5">
      <c r="A1" s="34" t="s">
        <v>240</v>
      </c>
      <c r="B1" s="34" t="s">
        <v>241</v>
      </c>
      <c r="C1" s="34" t="s">
        <v>242</v>
      </c>
      <c r="D1" s="34" t="s">
        <v>243</v>
      </c>
      <c r="E1" s="34" t="s">
        <v>244</v>
      </c>
      <c r="F1" s="34" t="s">
        <v>245</v>
      </c>
      <c r="G1" s="34" t="s">
        <v>246</v>
      </c>
      <c r="H1" s="34" t="s">
        <v>41</v>
      </c>
      <c r="I1" s="35" t="s">
        <v>247</v>
      </c>
      <c r="K1" s="46" t="s">
        <v>273</v>
      </c>
      <c r="L1" s="46" t="s">
        <v>274</v>
      </c>
      <c r="M1" s="53"/>
      <c r="N1" s="61" t="s">
        <v>305</v>
      </c>
      <c r="O1" s="62"/>
      <c r="P1" s="62"/>
      <c r="Q1" s="62"/>
      <c r="R1" s="62"/>
      <c r="X1" s="46" t="s">
        <v>273</v>
      </c>
      <c r="Y1" s="46" t="s">
        <v>303</v>
      </c>
      <c r="Z1" s="46" t="s">
        <v>273</v>
      </c>
      <c r="AA1" s="46" t="s">
        <v>304</v>
      </c>
      <c r="AB1" s="50" t="s">
        <v>302</v>
      </c>
    </row>
    <row r="2" spans="1:28" ht="14.5">
      <c r="A2" s="36" t="s">
        <v>248</v>
      </c>
      <c r="B2" s="37" t="s">
        <v>249</v>
      </c>
      <c r="C2" s="37" t="s">
        <v>250</v>
      </c>
      <c r="D2" s="37">
        <v>6</v>
      </c>
      <c r="E2" s="37">
        <v>2</v>
      </c>
      <c r="F2" s="37">
        <v>2</v>
      </c>
      <c r="G2" s="37"/>
      <c r="H2" s="37">
        <v>1</v>
      </c>
      <c r="I2" s="59" t="s">
        <v>251</v>
      </c>
      <c r="K2" s="31" t="s">
        <v>243</v>
      </c>
      <c r="L2" s="31">
        <v>10</v>
      </c>
      <c r="M2" s="31"/>
      <c r="N2" s="46" t="s">
        <v>273</v>
      </c>
      <c r="O2" s="46" t="s">
        <v>303</v>
      </c>
      <c r="P2" s="46" t="s">
        <v>273</v>
      </c>
      <c r="Q2" s="46" t="s">
        <v>304</v>
      </c>
      <c r="R2" s="50" t="s">
        <v>302</v>
      </c>
      <c r="X2" s="31" t="s">
        <v>290</v>
      </c>
      <c r="Y2" s="31">
        <v>39</v>
      </c>
      <c r="Z2" s="31" t="s">
        <v>289</v>
      </c>
      <c r="AA2" s="31">
        <v>29</v>
      </c>
      <c r="AB2" s="41">
        <f>Y2-AA2</f>
        <v>10</v>
      </c>
    </row>
    <row r="3" spans="1:28" ht="14.5">
      <c r="A3" s="36" t="s">
        <v>252</v>
      </c>
      <c r="B3" s="37" t="s">
        <v>253</v>
      </c>
      <c r="C3" s="37">
        <v>115</v>
      </c>
      <c r="D3" s="37">
        <v>10</v>
      </c>
      <c r="E3" s="37"/>
      <c r="F3" s="37">
        <v>3</v>
      </c>
      <c r="G3" s="37">
        <v>4</v>
      </c>
      <c r="H3" s="37">
        <v>3</v>
      </c>
      <c r="I3" s="60"/>
      <c r="K3" s="31" t="s">
        <v>246</v>
      </c>
      <c r="L3" s="31">
        <v>4</v>
      </c>
      <c r="M3" s="31"/>
      <c r="N3" s="31" t="s">
        <v>290</v>
      </c>
      <c r="O3" s="31">
        <v>39</v>
      </c>
      <c r="P3" s="31" t="s">
        <v>289</v>
      </c>
      <c r="Q3" s="31">
        <v>29</v>
      </c>
      <c r="R3" s="41">
        <f>O3-Q3</f>
        <v>10</v>
      </c>
      <c r="X3" s="31" t="s">
        <v>293</v>
      </c>
      <c r="Y3" s="31">
        <v>27</v>
      </c>
      <c r="Z3" s="31" t="s">
        <v>292</v>
      </c>
      <c r="AA3" s="31">
        <v>9</v>
      </c>
      <c r="AB3" s="41">
        <f t="shared" ref="AB3:AB6" si="0">Y3-AA3</f>
        <v>18</v>
      </c>
    </row>
    <row r="4" spans="1:28" ht="14.5">
      <c r="A4" s="36" t="s">
        <v>254</v>
      </c>
      <c r="B4" s="37" t="s">
        <v>255</v>
      </c>
      <c r="C4" s="37">
        <v>125</v>
      </c>
      <c r="D4" s="37">
        <v>4</v>
      </c>
      <c r="E4" s="37"/>
      <c r="F4" s="37">
        <v>1</v>
      </c>
      <c r="G4" s="37">
        <v>4</v>
      </c>
      <c r="H4" s="37">
        <v>1</v>
      </c>
      <c r="I4" s="38" t="s">
        <v>223</v>
      </c>
      <c r="K4" s="31" t="s">
        <v>275</v>
      </c>
      <c r="L4" s="31">
        <v>4</v>
      </c>
      <c r="M4" s="31"/>
      <c r="N4" s="31" t="s">
        <v>293</v>
      </c>
      <c r="O4" s="31">
        <v>27</v>
      </c>
      <c r="P4" s="31" t="s">
        <v>292</v>
      </c>
      <c r="Q4" s="31">
        <v>9</v>
      </c>
      <c r="R4" s="41">
        <f t="shared" ref="R4" si="1">O4-Q4</f>
        <v>18</v>
      </c>
      <c r="X4" s="31" t="s">
        <v>295</v>
      </c>
      <c r="Y4" s="31">
        <v>7</v>
      </c>
      <c r="Z4" s="31" t="s">
        <v>294</v>
      </c>
      <c r="AA4" s="31">
        <v>4</v>
      </c>
      <c r="AB4" s="41">
        <f t="shared" si="0"/>
        <v>3</v>
      </c>
    </row>
    <row r="5" spans="1:28" ht="14.5">
      <c r="A5" s="36" t="s">
        <v>256</v>
      </c>
      <c r="B5" s="37" t="s">
        <v>257</v>
      </c>
      <c r="C5" s="37">
        <v>50</v>
      </c>
      <c r="D5" s="37">
        <v>4</v>
      </c>
      <c r="E5" s="37"/>
      <c r="F5" s="37"/>
      <c r="G5" s="37"/>
      <c r="H5" s="37">
        <v>1</v>
      </c>
      <c r="I5" s="38" t="s">
        <v>258</v>
      </c>
      <c r="N5" s="52" t="s">
        <v>300</v>
      </c>
      <c r="O5" s="52">
        <f>SUM(O3:O4)</f>
        <v>66</v>
      </c>
      <c r="P5" s="52" t="s">
        <v>301</v>
      </c>
      <c r="Q5" s="52">
        <f>SUM(Q3:Q4)</f>
        <v>38</v>
      </c>
      <c r="R5" s="52">
        <f>SUM(R3:R4)</f>
        <v>28</v>
      </c>
      <c r="X5" s="31" t="s">
        <v>297</v>
      </c>
      <c r="Y5" s="31">
        <v>9</v>
      </c>
      <c r="Z5" s="31" t="s">
        <v>296</v>
      </c>
      <c r="AA5" s="31">
        <v>13</v>
      </c>
      <c r="AB5" s="41">
        <f t="shared" si="0"/>
        <v>-4</v>
      </c>
    </row>
    <row r="6" spans="1:28" ht="14.5">
      <c r="A6" s="36" t="s">
        <v>238</v>
      </c>
      <c r="B6" s="37" t="s">
        <v>259</v>
      </c>
      <c r="C6" s="37"/>
      <c r="D6" s="37">
        <v>2</v>
      </c>
      <c r="E6" s="37">
        <v>1</v>
      </c>
      <c r="F6" s="37">
        <v>1</v>
      </c>
      <c r="G6" s="37"/>
      <c r="H6" s="37">
        <v>0</v>
      </c>
      <c r="I6" s="38" t="s">
        <v>260</v>
      </c>
      <c r="N6" s="48"/>
      <c r="O6" s="48"/>
      <c r="P6" s="48"/>
      <c r="Q6" s="49"/>
      <c r="X6" s="51" t="s">
        <v>299</v>
      </c>
      <c r="Y6" s="51">
        <v>3</v>
      </c>
      <c r="Z6" s="51" t="s">
        <v>298</v>
      </c>
      <c r="AA6" s="51">
        <v>3</v>
      </c>
      <c r="AB6" s="41">
        <f t="shared" si="0"/>
        <v>0</v>
      </c>
    </row>
    <row r="7" spans="1:28" ht="14.5">
      <c r="A7" s="34" t="s">
        <v>261</v>
      </c>
      <c r="B7" s="39" t="s">
        <v>262</v>
      </c>
      <c r="C7" s="39">
        <v>290</v>
      </c>
      <c r="D7" s="39">
        <f>SUM(D2:D6)</f>
        <v>26</v>
      </c>
      <c r="E7" s="39">
        <f t="shared" ref="E7:H7" si="2">SUM(E2:E6)</f>
        <v>3</v>
      </c>
      <c r="F7" s="39">
        <f t="shared" si="2"/>
        <v>7</v>
      </c>
      <c r="G7" s="39">
        <f t="shared" si="2"/>
        <v>8</v>
      </c>
      <c r="H7" s="39">
        <f t="shared" si="2"/>
        <v>6</v>
      </c>
      <c r="I7" s="38"/>
      <c r="N7" s="48"/>
      <c r="O7" s="48"/>
      <c r="P7" s="48"/>
      <c r="Q7" s="49"/>
      <c r="X7" s="52" t="s">
        <v>300</v>
      </c>
      <c r="Y7" s="52">
        <f>SUM(Y2:Y6)</f>
        <v>85</v>
      </c>
      <c r="Z7" s="52" t="s">
        <v>301</v>
      </c>
      <c r="AA7" s="52">
        <f>SUM(AA2:AA6)</f>
        <v>58</v>
      </c>
      <c r="AB7" s="52">
        <f>SUM(AB2:AB6)</f>
        <v>27</v>
      </c>
    </row>
    <row r="8" spans="1:28" ht="14.5">
      <c r="A8" s="36" t="s">
        <v>230</v>
      </c>
      <c r="B8" s="37" t="s">
        <v>263</v>
      </c>
      <c r="C8" s="37">
        <v>300</v>
      </c>
      <c r="D8" s="37"/>
      <c r="E8" s="37"/>
      <c r="F8" s="37"/>
      <c r="G8" s="37">
        <v>15</v>
      </c>
      <c r="H8" s="37">
        <v>3</v>
      </c>
      <c r="I8" s="38" t="s">
        <v>264</v>
      </c>
      <c r="N8" s="48"/>
      <c r="O8" s="48"/>
      <c r="P8" s="48"/>
      <c r="Q8" s="49"/>
    </row>
    <row r="9" spans="1:28" ht="14.5">
      <c r="A9" s="36" t="s">
        <v>265</v>
      </c>
      <c r="B9" s="37" t="s">
        <v>266</v>
      </c>
      <c r="C9" s="37">
        <v>50</v>
      </c>
      <c r="D9" s="37">
        <v>2</v>
      </c>
      <c r="E9" s="37"/>
      <c r="F9" s="37"/>
      <c r="G9" s="37"/>
      <c r="H9" s="37">
        <v>0</v>
      </c>
      <c r="I9" s="38" t="s">
        <v>267</v>
      </c>
      <c r="N9" s="48"/>
      <c r="O9" s="49"/>
      <c r="P9" s="48"/>
      <c r="Q9" s="49"/>
    </row>
    <row r="10" spans="1:28" ht="14.5">
      <c r="A10" s="36" t="s">
        <v>268</v>
      </c>
      <c r="B10" s="37"/>
      <c r="C10" s="37"/>
      <c r="D10" s="37">
        <v>8</v>
      </c>
      <c r="E10" s="37"/>
      <c r="F10" s="37"/>
      <c r="G10" s="37"/>
      <c r="H10" s="37"/>
      <c r="I10" s="38" t="s">
        <v>258</v>
      </c>
    </row>
    <row r="11" spans="1:28" ht="14.5">
      <c r="A11" s="36" t="s">
        <v>228</v>
      </c>
      <c r="B11" s="37"/>
      <c r="C11" s="37"/>
      <c r="D11" s="37"/>
      <c r="E11" s="37"/>
      <c r="F11" s="37"/>
      <c r="G11" s="37">
        <v>4</v>
      </c>
      <c r="H11" s="37"/>
      <c r="I11" s="38"/>
    </row>
    <row r="12" spans="1:28" ht="14.5">
      <c r="A12" s="34" t="s">
        <v>269</v>
      </c>
      <c r="B12" s="40"/>
      <c r="C12" s="40"/>
      <c r="D12" s="41">
        <f>D9+D8+D10</f>
        <v>10</v>
      </c>
      <c r="E12" s="41">
        <f>E9+E8+E10</f>
        <v>0</v>
      </c>
      <c r="F12" s="41">
        <f>F9+F8+F10</f>
        <v>0</v>
      </c>
      <c r="G12" s="41">
        <f>G9+G8+G10+G11</f>
        <v>19</v>
      </c>
      <c r="H12" s="41">
        <f>H9+H8</f>
        <v>3</v>
      </c>
      <c r="I12" s="38"/>
    </row>
    <row r="13" spans="1:28" ht="14.5">
      <c r="A13" s="42" t="s">
        <v>270</v>
      </c>
      <c r="B13" s="43"/>
      <c r="C13" s="43"/>
      <c r="D13" s="44"/>
      <c r="E13" s="44"/>
      <c r="F13" s="44"/>
      <c r="G13" s="44">
        <f>SUM(D12:G12,D7:G7)</f>
        <v>73</v>
      </c>
      <c r="H13" s="44">
        <f>SUM(H12+H7)</f>
        <v>9</v>
      </c>
      <c r="I13" s="45">
        <f>G13+H13+7</f>
        <v>89</v>
      </c>
    </row>
    <row r="14" spans="1:28">
      <c r="D14" s="9"/>
      <c r="E14" s="9"/>
      <c r="F14" s="9"/>
      <c r="G14" s="9"/>
      <c r="H14" s="31" t="s">
        <v>271</v>
      </c>
      <c r="I14" s="38">
        <v>57</v>
      </c>
    </row>
    <row r="15" spans="1:28">
      <c r="D15" s="9"/>
      <c r="E15" s="9"/>
      <c r="F15" s="9"/>
      <c r="G15" s="9"/>
      <c r="H15" s="31" t="s">
        <v>272</v>
      </c>
      <c r="I15" s="38">
        <f>I14-I13</f>
        <v>-32</v>
      </c>
    </row>
    <row r="18" spans="14:16">
      <c r="N18" s="31"/>
      <c r="O18" s="31"/>
      <c r="P18" s="31"/>
    </row>
    <row r="19" spans="14:16">
      <c r="N19" s="31"/>
      <c r="O19" s="31"/>
      <c r="P19" s="31"/>
    </row>
    <row r="20" spans="14:16">
      <c r="N20" s="31"/>
      <c r="O20" s="31"/>
      <c r="P20" s="31"/>
    </row>
    <row r="21" spans="14:16">
      <c r="N21" s="31"/>
      <c r="O21" s="31"/>
      <c r="P21" s="31"/>
    </row>
  </sheetData>
  <mergeCells count="2">
    <mergeCell ref="I2:I3"/>
    <mergeCell ref="N1:R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KBR &amp; Drona Value Chain Sept </vt:lpstr>
      <vt:lpstr>Pending Salary Sept Month 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Panicker</dc:creator>
  <cp:lastModifiedBy>Sunil</cp:lastModifiedBy>
  <dcterms:created xsi:type="dcterms:W3CDTF">2025-06-02T08:42:36Z</dcterms:created>
  <dcterms:modified xsi:type="dcterms:W3CDTF">2025-12-01T05:39:57Z</dcterms:modified>
</cp:coreProperties>
</file>