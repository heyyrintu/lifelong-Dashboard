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arukh Nagar WareHouse Report\Attendance Nov 2025\"/>
    </mc:Choice>
  </mc:AlternateContent>
  <bookViews>
    <workbookView xWindow="0" yWindow="0" windowWidth="19200" windowHeight="7310" firstSheet="3" activeTab="3"/>
  </bookViews>
  <sheets>
    <sheet name="Drona Value Chain " sheetId="3" state="hidden" r:id="rId1"/>
    <sheet name="Sheet1" sheetId="4" state="hidden" r:id="rId2"/>
    <sheet name="ONROLL" sheetId="1" state="hidden" r:id="rId3"/>
    <sheet name="On Roll Staff Farukh Nagar" sheetId="2" r:id="rId4"/>
  </sheets>
  <definedNames>
    <definedName name="_xlnm._FilterDatabase" localSheetId="0" hidden="1">'Drona Value Chain '!$A$2:$AM$58</definedName>
    <definedName name="_xlnm._FilterDatabase" localSheetId="3" hidden="1">'On Roll Staff Farukh Nagar'!$A$1:$N$18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8" i="2" l="1"/>
  <c r="AR14" i="2"/>
  <c r="AQ14" i="2"/>
  <c r="AR10" i="2"/>
  <c r="AQ10" i="2"/>
  <c r="AQ18" i="2" l="1"/>
  <c r="AQ6" i="2"/>
  <c r="AO18" i="2" l="1"/>
  <c r="AO10" i="2"/>
  <c r="AP6" i="2"/>
  <c r="AO6" i="2"/>
  <c r="AN14" i="2" l="1"/>
  <c r="AN18" i="2" l="1"/>
  <c r="AM10" i="2"/>
  <c r="AN6" i="2"/>
  <c r="AM6" i="2"/>
  <c r="AL10" i="2" l="1"/>
  <c r="AM14" i="2"/>
  <c r="AM18" i="2"/>
  <c r="AL18" i="2" l="1"/>
  <c r="AK10" i="2"/>
  <c r="AL6" i="2"/>
  <c r="AK14" i="2" l="1"/>
  <c r="AJ10" i="2"/>
  <c r="AJ14" i="2" l="1"/>
  <c r="AJ6" i="2"/>
  <c r="AI18" i="2" l="1"/>
  <c r="AI14" i="2"/>
  <c r="AI10" i="2"/>
  <c r="AH10" i="2"/>
  <c r="AI6" i="2"/>
  <c r="AH18" i="2" l="1"/>
  <c r="AH14" i="2"/>
  <c r="AG10" i="2"/>
  <c r="AH6" i="2"/>
  <c r="AG18" i="2" l="1"/>
  <c r="AG14" i="2"/>
  <c r="AF10" i="2"/>
  <c r="AG6" i="2"/>
  <c r="AF18" i="2" l="1"/>
  <c r="AF14" i="2"/>
  <c r="AE14" i="2"/>
  <c r="AC10" i="2"/>
  <c r="AD10" i="2"/>
  <c r="AE10" i="2"/>
  <c r="AE6" i="2" l="1"/>
  <c r="AD18" i="2"/>
  <c r="AD14" i="2"/>
  <c r="AC18" i="2" l="1"/>
  <c r="AC14" i="2"/>
  <c r="AC6" i="2"/>
  <c r="AB18" i="2" l="1"/>
  <c r="AB14" i="2"/>
  <c r="AB6" i="2"/>
  <c r="AA18" i="2" l="1"/>
  <c r="AA14" i="2"/>
  <c r="AA6" i="2"/>
  <c r="Z14" i="2" l="1"/>
  <c r="Z10" i="2"/>
  <c r="Y10" i="2"/>
  <c r="Z6" i="2"/>
  <c r="Y18" i="2" l="1"/>
  <c r="Y14" i="2"/>
  <c r="Y6" i="2"/>
  <c r="X18" i="2" l="1"/>
  <c r="X6" i="2"/>
  <c r="U10" i="2" l="1"/>
  <c r="S10" i="2"/>
  <c r="S6" i="2" l="1"/>
  <c r="T18" i="2"/>
  <c r="S18" i="2"/>
  <c r="T14" i="2"/>
  <c r="S14" i="2"/>
  <c r="Q6" i="2" l="1"/>
  <c r="P6" i="2"/>
  <c r="O6" i="2"/>
  <c r="Q14" i="2"/>
  <c r="P14" i="2"/>
  <c r="O14" i="2"/>
  <c r="R18" i="2"/>
  <c r="Q18" i="2"/>
  <c r="P18" i="2"/>
  <c r="O18" i="2"/>
  <c r="AP18" i="2" l="1"/>
  <c r="Z18" i="2"/>
  <c r="V18" i="2"/>
  <c r="U18" i="2"/>
  <c r="V14" i="2"/>
  <c r="U14" i="2"/>
  <c r="AN10" i="2"/>
  <c r="V10" i="2"/>
  <c r="V6" i="2"/>
  <c r="U6" i="2"/>
  <c r="T6" i="2"/>
  <c r="N18" i="2" l="1"/>
  <c r="M18" i="2"/>
  <c r="L18" i="2"/>
  <c r="K18" i="2"/>
  <c r="J18" i="2"/>
  <c r="N14" i="2"/>
  <c r="M14" i="2"/>
  <c r="K14" i="2"/>
  <c r="H6" i="2"/>
  <c r="AL58" i="3" l="1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I26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I10" i="3"/>
  <c r="AL6" i="3" l="1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 l="1"/>
  <c r="AO189" i="4" l="1"/>
  <c r="AN189" i="4"/>
  <c r="AM189" i="4"/>
  <c r="AL189" i="4"/>
  <c r="AK189" i="4"/>
  <c r="AJ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AP186" i="4"/>
  <c r="AO185" i="4"/>
  <c r="AN185" i="4"/>
  <c r="AM185" i="4"/>
  <c r="AL185" i="4"/>
  <c r="AK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AP182" i="4"/>
  <c r="AO181" i="4"/>
  <c r="AN181" i="4"/>
  <c r="AM181" i="4"/>
  <c r="AL181" i="4"/>
  <c r="AK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AP178" i="4"/>
  <c r="AO177" i="4"/>
  <c r="AN177" i="4"/>
  <c r="AM177" i="4"/>
  <c r="AL177" i="4"/>
  <c r="AK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AP174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AP170" i="4"/>
  <c r="AO169" i="4"/>
  <c r="AN169" i="4"/>
  <c r="AM169" i="4"/>
  <c r="AL169" i="4"/>
  <c r="AK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AP166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AP162" i="4"/>
  <c r="AO161" i="4"/>
  <c r="AN161" i="4"/>
  <c r="AM161" i="4"/>
  <c r="AL161" i="4"/>
  <c r="AK161" i="4"/>
  <c r="AJ161" i="4"/>
  <c r="AI161" i="4"/>
  <c r="AH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AP158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AP154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AP150" i="4"/>
  <c r="AO149" i="4"/>
  <c r="AN149" i="4"/>
  <c r="AM149" i="4"/>
  <c r="AL149" i="4"/>
  <c r="AK149" i="4"/>
  <c r="AJ149" i="4"/>
  <c r="AI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P146" i="4"/>
  <c r="AO145" i="4"/>
  <c r="AN145" i="4"/>
  <c r="AM145" i="4"/>
  <c r="AL145" i="4"/>
  <c r="AK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AP142" i="4"/>
  <c r="AO141" i="4"/>
  <c r="AN141" i="4"/>
  <c r="AM141" i="4"/>
  <c r="AL141" i="4"/>
  <c r="AK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AP138" i="4"/>
  <c r="AO137" i="4"/>
  <c r="AN137" i="4"/>
  <c r="AM137" i="4"/>
  <c r="AL137" i="4"/>
  <c r="AK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AP134" i="4"/>
  <c r="AO133" i="4"/>
  <c r="AN133" i="4"/>
  <c r="AM133" i="4"/>
  <c r="AL133" i="4"/>
  <c r="AK133" i="4"/>
  <c r="AJ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AP130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AP126" i="4"/>
  <c r="AO125" i="4"/>
  <c r="AN125" i="4"/>
  <c r="AM125" i="4"/>
  <c r="AL125" i="4"/>
  <c r="AK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AP122" i="4"/>
  <c r="AO121" i="4"/>
  <c r="AN121" i="4"/>
  <c r="AM121" i="4"/>
  <c r="AL121" i="4"/>
  <c r="AK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AP118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AP114" i="4"/>
  <c r="AO113" i="4"/>
  <c r="AN113" i="4"/>
  <c r="AM113" i="4"/>
  <c r="AL113" i="4"/>
  <c r="AK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AP110" i="4"/>
  <c r="AO109" i="4"/>
  <c r="AN109" i="4"/>
  <c r="AM109" i="4"/>
  <c r="AL109" i="4"/>
  <c r="AK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AP106" i="4"/>
  <c r="AO105" i="4"/>
  <c r="AN105" i="4"/>
  <c r="AM105" i="4"/>
  <c r="AL105" i="4"/>
  <c r="AK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AP102" i="4"/>
  <c r="AO101" i="4"/>
  <c r="AN101" i="4"/>
  <c r="AM101" i="4"/>
  <c r="AL101" i="4"/>
  <c r="AK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AP98" i="4"/>
  <c r="AO97" i="4"/>
  <c r="AN97" i="4"/>
  <c r="AM97" i="4"/>
  <c r="AL97" i="4"/>
  <c r="AK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AP94" i="4"/>
  <c r="AO93" i="4"/>
  <c r="AN93" i="4"/>
  <c r="AM93" i="4"/>
  <c r="AL93" i="4"/>
  <c r="AK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AP90" i="4"/>
  <c r="AO89" i="4"/>
  <c r="AN89" i="4"/>
  <c r="AM89" i="4"/>
  <c r="AL89" i="4"/>
  <c r="AK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AP86" i="4"/>
  <c r="AO85" i="4"/>
  <c r="AN85" i="4"/>
  <c r="AM85" i="4"/>
  <c r="AL85" i="4"/>
  <c r="AK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AP82" i="4"/>
  <c r="AO81" i="4"/>
  <c r="AN81" i="4"/>
  <c r="AM81" i="4"/>
  <c r="AL81" i="4"/>
  <c r="AK81" i="4"/>
  <c r="AJ81" i="4"/>
  <c r="AI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AP78" i="4"/>
  <c r="AO77" i="4"/>
  <c r="AN77" i="4"/>
  <c r="AM77" i="4"/>
  <c r="AL77" i="4"/>
  <c r="AK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AP74" i="4"/>
  <c r="AO73" i="4"/>
  <c r="AN73" i="4"/>
  <c r="AM73" i="4"/>
  <c r="AL73" i="4"/>
  <c r="AK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AP70" i="4"/>
  <c r="AO69" i="4"/>
  <c r="AN69" i="4"/>
  <c r="AM69" i="4"/>
  <c r="AL69" i="4"/>
  <c r="AK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AP66" i="4"/>
  <c r="AO65" i="4"/>
  <c r="AN65" i="4"/>
  <c r="AM65" i="4"/>
  <c r="AL65" i="4"/>
  <c r="AK65" i="4"/>
  <c r="AJ65" i="4"/>
  <c r="AI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AP62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AP58" i="4"/>
  <c r="AO57" i="4"/>
  <c r="AN57" i="4"/>
  <c r="AM57" i="4"/>
  <c r="AL57" i="4"/>
  <c r="AK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AP54" i="4"/>
  <c r="AO53" i="4"/>
  <c r="AN53" i="4"/>
  <c r="AM53" i="4"/>
  <c r="AL53" i="4"/>
  <c r="AK53" i="4"/>
  <c r="AJ53" i="4"/>
  <c r="AI53" i="4"/>
  <c r="AH53" i="4"/>
  <c r="AG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AP50" i="4"/>
  <c r="AO49" i="4"/>
  <c r="AN49" i="4"/>
  <c r="AM49" i="4"/>
  <c r="AL49" i="4"/>
  <c r="AK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AP46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AP42" i="4"/>
  <c r="AO41" i="4"/>
  <c r="AN41" i="4"/>
  <c r="AM41" i="4"/>
  <c r="AL41" i="4"/>
  <c r="AK41" i="4"/>
  <c r="AJ41" i="4"/>
  <c r="AI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AP38" i="4"/>
  <c r="AO37" i="4"/>
  <c r="AN37" i="4"/>
  <c r="AM37" i="4"/>
  <c r="AL37" i="4"/>
  <c r="AK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AP34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AP30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AP26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AP22" i="4"/>
  <c r="AO21" i="4"/>
  <c r="AN21" i="4"/>
  <c r="AM21" i="4"/>
  <c r="AL21" i="4"/>
  <c r="AK21" i="4"/>
  <c r="AJ21" i="4"/>
  <c r="AI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AP18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AP14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AP10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AP6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AP2" i="4"/>
  <c r="AU3" i="1" l="1"/>
  <c r="AU4" i="1"/>
  <c r="AU5" i="1"/>
  <c r="AT3" i="1"/>
  <c r="AT4" i="1"/>
  <c r="AT5" i="1"/>
  <c r="AS3" i="1"/>
  <c r="AS4" i="1"/>
  <c r="AS5" i="1"/>
  <c r="AR3" i="1"/>
  <c r="AR4" i="1"/>
  <c r="AR5" i="1"/>
  <c r="AN3" i="1"/>
  <c r="AO3" i="1"/>
  <c r="AP3" i="1"/>
  <c r="AQ3" i="1"/>
  <c r="AN4" i="1"/>
  <c r="AO4" i="1"/>
  <c r="AP4" i="1"/>
  <c r="AQ4" i="1"/>
  <c r="AN5" i="1"/>
  <c r="AO5" i="1"/>
  <c r="AP5" i="1"/>
  <c r="AQ5" i="1"/>
  <c r="AM3" i="1"/>
  <c r="AM4" i="1"/>
  <c r="AM5" i="1"/>
</calcChain>
</file>

<file path=xl/comments1.xml><?xml version="1.0" encoding="utf-8"?>
<comments xmlns="http://schemas.openxmlformats.org/spreadsheetml/2006/main">
  <authors>
    <author>tc={6B7549E4-73DA-40D9-AF6B-6463C3540F79}</author>
    <author>tc={765BD67A-8BAD-493D-AC40-285B401AA4C8}</author>
    <author>tc={40F18FD7-7ED2-4223-A39A-690E472A04AB}</author>
    <author>tc={A84A59BA-0D62-4D30-8408-263F270258E1}</author>
    <author>tc={89BE0464-364C-4682-BD3C-17F298716439}</author>
    <author>tc={1FD547E0-D237-4182-8514-2321742A02E9}</author>
  </authors>
  <commentList>
    <comment ref="K3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Mumbai to Delhi</t>
        </r>
      </text>
    </comment>
    <comment ref="L3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Mumbai to Delhi</t>
        </r>
      </text>
    </comment>
    <comment ref="M3" authorId="2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Mumbai to Delhi
</t>
        </r>
      </text>
    </comment>
    <comment ref="K4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Mumbai to Delhi</t>
        </r>
      </text>
    </comment>
    <comment ref="L4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Mumbai to Delhi</t>
        </r>
      </text>
    </comment>
    <comment ref="M4" authorId="5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Mumbai to Delhi
</t>
        </r>
      </text>
    </comment>
  </commentList>
</comments>
</file>

<file path=xl/sharedStrings.xml><?xml version="1.0" encoding="utf-8"?>
<sst xmlns="http://schemas.openxmlformats.org/spreadsheetml/2006/main" count="3431" uniqueCount="106">
  <si>
    <t>Fri</t>
  </si>
  <si>
    <t>Sat</t>
  </si>
  <si>
    <t>Sun</t>
  </si>
  <si>
    <t>Mon</t>
  </si>
  <si>
    <t>Tue</t>
  </si>
  <si>
    <t>Wed</t>
  </si>
  <si>
    <t>Thu</t>
  </si>
  <si>
    <t>Code</t>
  </si>
  <si>
    <t>Name</t>
  </si>
  <si>
    <t>Designation</t>
  </si>
  <si>
    <t>Department</t>
  </si>
  <si>
    <t>DOJ</t>
  </si>
  <si>
    <t>Location</t>
  </si>
  <si>
    <t>Status</t>
  </si>
  <si>
    <t>Present</t>
  </si>
  <si>
    <t>WFH</t>
  </si>
  <si>
    <t>OD</t>
  </si>
  <si>
    <t>WO</t>
  </si>
  <si>
    <t xml:space="preserve">Holidays </t>
  </si>
  <si>
    <t>Leaves</t>
  </si>
  <si>
    <t>CO</t>
  </si>
  <si>
    <t>Total Days</t>
  </si>
  <si>
    <t>Absent</t>
  </si>
  <si>
    <t>Executive</t>
  </si>
  <si>
    <t>Operations</t>
  </si>
  <si>
    <t>Active</t>
  </si>
  <si>
    <t>DLPL113</t>
  </si>
  <si>
    <t>Prakash Kumar Singh</t>
  </si>
  <si>
    <t>IT</t>
  </si>
  <si>
    <t>DLPL122</t>
  </si>
  <si>
    <t>Ajay Sahani</t>
  </si>
  <si>
    <t>Executive (Solution Design)</t>
  </si>
  <si>
    <t>In Time</t>
  </si>
  <si>
    <t>Out Time</t>
  </si>
  <si>
    <t>P</t>
  </si>
  <si>
    <t xml:space="preserve"> Brijesh yadav</t>
  </si>
  <si>
    <t>Farukhnagar</t>
  </si>
  <si>
    <t>Brijesh</t>
  </si>
  <si>
    <t>DLPL117</t>
  </si>
  <si>
    <t>DLP117</t>
  </si>
  <si>
    <t>sat</t>
  </si>
  <si>
    <t>sun</t>
  </si>
  <si>
    <t>mon</t>
  </si>
  <si>
    <t>tue</t>
  </si>
  <si>
    <t>wed</t>
  </si>
  <si>
    <t>thu</t>
  </si>
  <si>
    <t>fri</t>
  </si>
  <si>
    <t>H</t>
  </si>
  <si>
    <t>Chakarpal</t>
  </si>
  <si>
    <t>Veerpal</t>
  </si>
  <si>
    <t>Veeru</t>
  </si>
  <si>
    <t>Ashish</t>
  </si>
  <si>
    <t>Narayan</t>
  </si>
  <si>
    <t>Pawan sharma</t>
  </si>
  <si>
    <t>Ashutosh Pandey</t>
  </si>
  <si>
    <t>Rakesh</t>
  </si>
  <si>
    <t>Amar Singh</t>
  </si>
  <si>
    <t>Father Name</t>
  </si>
  <si>
    <t>Jai Bhagwhan</t>
  </si>
  <si>
    <t>ID NO:-</t>
  </si>
  <si>
    <t>Employee Name</t>
  </si>
  <si>
    <t>Contact no</t>
  </si>
  <si>
    <t>Vendor</t>
  </si>
  <si>
    <t>Dept</t>
  </si>
  <si>
    <t>Rks</t>
  </si>
  <si>
    <t>Days</t>
  </si>
  <si>
    <t>PRABHAT</t>
  </si>
  <si>
    <t>Supervisor</t>
  </si>
  <si>
    <t>Ramdaresh pandey</t>
  </si>
  <si>
    <t>Drona Value chain</t>
  </si>
  <si>
    <t>Spario</t>
  </si>
  <si>
    <t>A</t>
  </si>
  <si>
    <t>Total Hrs</t>
  </si>
  <si>
    <t>Stoke Area</t>
  </si>
  <si>
    <t>KBR</t>
  </si>
  <si>
    <t>OFF</t>
  </si>
  <si>
    <t>Kothari</t>
  </si>
  <si>
    <t>Inactive</t>
  </si>
  <si>
    <t>COFF</t>
  </si>
  <si>
    <t>Ram Raj</t>
  </si>
  <si>
    <t>Faruk Nagar Attendance Sheet August 2025</t>
  </si>
  <si>
    <t>Sunil</t>
  </si>
  <si>
    <t>Naveen</t>
  </si>
  <si>
    <t>Anil</t>
  </si>
  <si>
    <t>F00000116</t>
  </si>
  <si>
    <t>F00000120</t>
  </si>
  <si>
    <t>DEO</t>
  </si>
  <si>
    <t>F00000126</t>
  </si>
  <si>
    <t>Sr.Executive</t>
  </si>
  <si>
    <t>F00000122</t>
  </si>
  <si>
    <t>F00000117</t>
  </si>
  <si>
    <t>Parveen Kumar</t>
  </si>
  <si>
    <t>F00000124</t>
  </si>
  <si>
    <t>Rishal Singh</t>
  </si>
  <si>
    <t>F00000123</t>
  </si>
  <si>
    <t>F00000119</t>
  </si>
  <si>
    <t>F00000118</t>
  </si>
  <si>
    <t>F00000125</t>
  </si>
  <si>
    <t>F00000127</t>
  </si>
  <si>
    <t>F00000128</t>
  </si>
  <si>
    <t>F00000129</t>
  </si>
  <si>
    <t>F00000121</t>
  </si>
  <si>
    <t>Baladeen</t>
  </si>
  <si>
    <t>WH Manager</t>
  </si>
  <si>
    <t>L</t>
  </si>
  <si>
    <t>W/OFF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</si>
</sst>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 &quot;* #,##0.00&quot; &quot;;&quot; &quot;* &quot;-&quot;#,##0.00&quot; &quot;;&quot; &quot;* &quot;-&quot;#&quot; &quot;;&quot; &quot;@&quot; &quot;"/>
    <numFmt numFmtId="165" formatCode="[$-409]d\-mmm\-yy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1111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9"/>
      <color rgb="FF000000"/>
      <name val="Calibri"/>
      <family val="2"/>
    </font>
    <font>
      <sz val="11"/>
      <color rgb="FF000000"/>
      <name val="Aptos Narrow"/>
      <charset val="134"/>
    </font>
    <font>
      <sz val="9"/>
      <color rgb="FF000000"/>
      <name val="Aptos Narrow"/>
      <charset val="134"/>
    </font>
    <font>
      <sz val="9"/>
      <color rgb="FF000000"/>
      <name val="Calibri"/>
      <family val="2"/>
    </font>
    <font>
      <sz val="9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b/>
      <sz val="8"/>
      <color rgb="FF000000"/>
      <name val="Aptos Narrow"/>
    </font>
    <font>
      <sz val="8"/>
      <color rgb="FF000000"/>
      <name val="Calibri"/>
      <family val="2"/>
      <scheme val="minor"/>
    </font>
    <font>
      <sz val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02B93"/>
        <bgColor rgb="FFA02B93"/>
      </patternFill>
    </fill>
    <fill>
      <patternFill patternType="solid">
        <fgColor rgb="FF94DCF8"/>
        <bgColor rgb="FF94DCF8"/>
      </patternFill>
    </fill>
    <fill>
      <patternFill patternType="solid">
        <fgColor rgb="FFD0D0D0"/>
        <bgColor rgb="FFD0D0D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94DCF8"/>
      </patternFill>
    </fill>
    <fill>
      <patternFill patternType="solid">
        <fgColor rgb="FFFFC0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rgb="FF94DCF8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164" fontId="14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16" fontId="6" fillId="4" borderId="2" xfId="0" applyNumberFormat="1" applyFont="1" applyFill="1" applyBorder="1" applyAlignment="1">
      <alignment horizontal="center" vertical="center"/>
    </xf>
    <xf numFmtId="16" fontId="7" fillId="5" borderId="1" xfId="1" applyNumberFormat="1" applyFont="1" applyFill="1" applyBorder="1" applyAlignment="1">
      <alignment horizontal="center" vertical="center"/>
    </xf>
    <xf numFmtId="16" fontId="7" fillId="6" borderId="1" xfId="1" applyNumberFormat="1" applyFont="1" applyFill="1" applyBorder="1" applyAlignment="1">
      <alignment horizontal="center" vertical="center"/>
    </xf>
    <xf numFmtId="16" fontId="7" fillId="7" borderId="1" xfId="1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5" fontId="2" fillId="0" borderId="1" xfId="2" applyNumberFormat="1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20" fontId="8" fillId="8" borderId="1" xfId="0" applyNumberFormat="1" applyFont="1" applyFill="1" applyBorder="1" applyAlignment="1">
      <alignment horizontal="center"/>
    </xf>
    <xf numFmtId="20" fontId="9" fillId="8" borderId="1" xfId="0" applyNumberFormat="1" applyFont="1" applyFill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3" fillId="11" borderId="1" xfId="0" applyNumberFormat="1" applyFont="1" applyFill="1" applyBorder="1" applyAlignment="1">
      <alignment horizontal="center" vertical="center" wrapText="1"/>
    </xf>
    <xf numFmtId="49" fontId="13" fillId="11" borderId="1" xfId="0" applyNumberFormat="1" applyFont="1" applyFill="1" applyBorder="1" applyAlignment="1">
      <alignment horizontal="left" vertical="center" wrapText="1"/>
    </xf>
    <xf numFmtId="164" fontId="13" fillId="11" borderId="1" xfId="3" applyFont="1" applyFill="1" applyBorder="1" applyAlignment="1">
      <alignment horizontal="left" vertical="center" wrapText="1"/>
    </xf>
    <xf numFmtId="16" fontId="15" fillId="12" borderId="1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8" borderId="1" xfId="0" applyFont="1" applyFill="1" applyBorder="1" applyAlignment="1">
      <alignment horizontal="left"/>
    </xf>
    <xf numFmtId="15" fontId="16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20" fontId="0" fillId="0" borderId="1" xfId="0" applyNumberFormat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left"/>
    </xf>
    <xf numFmtId="15" fontId="16" fillId="14" borderId="1" xfId="0" applyNumberFormat="1" applyFont="1" applyFill="1" applyBorder="1" applyAlignment="1">
      <alignment horizontal="left"/>
    </xf>
    <xf numFmtId="0" fontId="16" fillId="14" borderId="1" xfId="0" applyFont="1" applyFill="1" applyBorder="1" applyAlignment="1">
      <alignment horizontal="left" vertical="center"/>
    </xf>
    <xf numFmtId="20" fontId="17" fillId="15" borderId="1" xfId="0" applyNumberFormat="1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6" fillId="0" borderId="1" xfId="0" applyFont="1" applyBorder="1" applyAlignment="1">
      <alignment horizontal="left" vertical="top"/>
    </xf>
    <xf numFmtId="0" fontId="16" fillId="16" borderId="1" xfId="0" applyFont="1" applyFill="1" applyBorder="1" applyAlignment="1">
      <alignment horizontal="left"/>
    </xf>
    <xf numFmtId="15" fontId="16" fillId="17" borderId="1" xfId="0" applyNumberFormat="1" applyFont="1" applyFill="1" applyBorder="1" applyAlignment="1">
      <alignment horizontal="left"/>
    </xf>
    <xf numFmtId="0" fontId="16" fillId="17" borderId="1" xfId="0" applyFont="1" applyFill="1" applyBorder="1" applyAlignment="1">
      <alignment horizontal="left"/>
    </xf>
    <xf numFmtId="0" fontId="16" fillId="17" borderId="1" xfId="0" applyFont="1" applyFill="1" applyBorder="1" applyAlignment="1">
      <alignment horizontal="left" vertical="center"/>
    </xf>
    <xf numFmtId="0" fontId="16" fillId="17" borderId="1" xfId="0" applyFont="1" applyFill="1" applyBorder="1" applyAlignment="1">
      <alignment horizontal="left" vertical="top"/>
    </xf>
    <xf numFmtId="0" fontId="16" fillId="17" borderId="1" xfId="0" applyFont="1" applyFill="1" applyBorder="1" applyAlignment="1">
      <alignment horizontal="center"/>
    </xf>
    <xf numFmtId="20" fontId="16" fillId="0" borderId="1" xfId="0" applyNumberFormat="1" applyFont="1" applyFill="1" applyBorder="1" applyAlignment="1">
      <alignment horizontal="center"/>
    </xf>
    <xf numFmtId="0" fontId="16" fillId="18" borderId="1" xfId="0" applyFont="1" applyFill="1" applyBorder="1" applyAlignment="1">
      <alignment horizontal="center"/>
    </xf>
    <xf numFmtId="0" fontId="16" fillId="18" borderId="1" xfId="0" applyFont="1" applyFill="1" applyBorder="1" applyAlignment="1">
      <alignment horizontal="left"/>
    </xf>
    <xf numFmtId="15" fontId="16" fillId="18" borderId="1" xfId="0" applyNumberFormat="1" applyFont="1" applyFill="1" applyBorder="1" applyAlignment="1">
      <alignment horizontal="left"/>
    </xf>
    <xf numFmtId="0" fontId="16" fillId="18" borderId="1" xfId="0" applyFont="1" applyFill="1" applyBorder="1" applyAlignment="1">
      <alignment horizontal="left" vertical="center"/>
    </xf>
    <xf numFmtId="0" fontId="16" fillId="18" borderId="1" xfId="0" applyFont="1" applyFill="1" applyBorder="1" applyAlignment="1">
      <alignment horizontal="left" vertical="top"/>
    </xf>
    <xf numFmtId="0" fontId="16" fillId="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20" fontId="16" fillId="0" borderId="1" xfId="0" applyNumberFormat="1" applyFont="1" applyBorder="1" applyAlignment="1">
      <alignment horizontal="center"/>
    </xf>
    <xf numFmtId="0" fontId="15" fillId="14" borderId="1" xfId="0" applyFont="1" applyFill="1" applyBorder="1" applyAlignment="1">
      <alignment horizontal="left"/>
    </xf>
    <xf numFmtId="0" fontId="16" fillId="8" borderId="1" xfId="0" applyFont="1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14" borderId="1" xfId="0" applyFill="1" applyBorder="1" applyAlignment="1">
      <alignment horizontal="left"/>
    </xf>
    <xf numFmtId="0" fontId="16" fillId="0" borderId="1" xfId="0" applyFont="1" applyBorder="1"/>
    <xf numFmtId="0" fontId="16" fillId="14" borderId="1" xfId="0" applyFont="1" applyFill="1" applyBorder="1"/>
    <xf numFmtId="0" fontId="15" fillId="0" borderId="1" xfId="0" applyFont="1" applyBorder="1" applyAlignment="1">
      <alignment horizontal="left" vertical="center"/>
    </xf>
    <xf numFmtId="0" fontId="15" fillId="14" borderId="1" xfId="0" applyFont="1" applyFill="1" applyBorder="1" applyAlignment="1">
      <alignment horizontal="left" vertical="center"/>
    </xf>
    <xf numFmtId="15" fontId="16" fillId="16" borderId="1" xfId="0" applyNumberFormat="1" applyFont="1" applyFill="1" applyBorder="1" applyAlignment="1">
      <alignment horizontal="left"/>
    </xf>
    <xf numFmtId="15" fontId="17" fillId="0" borderId="1" xfId="0" applyNumberFormat="1" applyFont="1" applyBorder="1" applyAlignment="1">
      <alignment horizontal="left"/>
    </xf>
    <xf numFmtId="0" fontId="0" fillId="8" borderId="0" xfId="0" applyFill="1"/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10" fillId="9" borderId="0" xfId="0" applyFont="1" applyFill="1"/>
    <xf numFmtId="0" fontId="10" fillId="8" borderId="0" xfId="0" applyFont="1" applyFill="1"/>
    <xf numFmtId="0" fontId="2" fillId="8" borderId="1" xfId="0" applyFont="1" applyFill="1" applyBorder="1" applyAlignment="1">
      <alignment horizontal="center" vertical="center"/>
    </xf>
    <xf numFmtId="15" fontId="2" fillId="8" borderId="1" xfId="2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" fontId="21" fillId="21" borderId="1" xfId="0" applyNumberFormat="1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/>
    </xf>
    <xf numFmtId="165" fontId="20" fillId="23" borderId="1" xfId="0" applyNumberFormat="1" applyFont="1" applyFill="1" applyBorder="1" applyAlignment="1">
      <alignment horizontal="center" vertical="center"/>
    </xf>
    <xf numFmtId="20" fontId="17" fillId="24" borderId="1" xfId="0" applyNumberFormat="1" applyFont="1" applyFill="1" applyBorder="1" applyAlignment="1">
      <alignment horizontal="center"/>
    </xf>
    <xf numFmtId="16" fontId="21" fillId="25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15" fontId="2" fillId="23" borderId="1" xfId="2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6" fontId="22" fillId="19" borderId="1" xfId="0" applyNumberFormat="1" applyFont="1" applyFill="1" applyBorder="1" applyAlignment="1">
      <alignment horizontal="center" vertical="center"/>
    </xf>
    <xf numFmtId="20" fontId="11" fillId="8" borderId="1" xfId="0" applyNumberFormat="1" applyFont="1" applyFill="1" applyBorder="1" applyAlignment="1">
      <alignment horizontal="center"/>
    </xf>
    <xf numFmtId="20" fontId="23" fillId="24" borderId="1" xfId="0" applyNumberFormat="1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 vertical="center" wrapText="1"/>
    </xf>
    <xf numFmtId="16" fontId="21" fillId="25" borderId="3" xfId="0" applyNumberFormat="1" applyFont="1" applyFill="1" applyBorder="1" applyAlignment="1">
      <alignment horizontal="center"/>
    </xf>
    <xf numFmtId="20" fontId="23" fillId="24" borderId="3" xfId="0" applyNumberFormat="1" applyFont="1" applyFill="1" applyBorder="1" applyAlignment="1">
      <alignment horizontal="center"/>
    </xf>
    <xf numFmtId="20" fontId="22" fillId="19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" fontId="22" fillId="19" borderId="4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/>
    </xf>
  </cellXfs>
  <cellStyles count="4">
    <cellStyle name="Comma 2 3" xfId="3"/>
    <cellStyle name="Normal" xfId="0" builtinId="0"/>
    <cellStyle name="Normal 2" xfId="1"/>
    <cellStyle name="Normal 305 4 4 2 3 2" xfId="2"/>
  </cellStyles>
  <dxfs count="909"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kash Kumar Singh" id="{A7EEC117-0184-4729-AB7D-A83863F0D127}" userId="S::prakashkumar.s@dronalogitech.com::45d09fd2-86a5-4aa0-98e7-9b44cfb71da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5-08-23T03:40:43.42" personId="{A7EEC117-0184-4729-AB7D-A83863F0D127}" id="{6B7549E4-73DA-40D9-AF6B-6463C3540F79}">
    <text>Mumbai to Delhi</text>
  </threadedComment>
  <threadedComment ref="L3" dT="2025-08-23T03:40:43.42" personId="{A7EEC117-0184-4729-AB7D-A83863F0D127}" id="{765BD67A-8BAD-493D-AC40-285B401AA4C8}">
    <text>Mumbai to Delhi</text>
  </threadedComment>
  <threadedComment ref="M3" dT="2025-08-25T05:49:45.90" personId="{A7EEC117-0184-4729-AB7D-A83863F0D127}" id="{40F18FD7-7ED2-4223-A39A-690E472A04AB}">
    <text xml:space="preserve">Mumbai to Delhi
</text>
  </threadedComment>
  <threadedComment ref="K4" dT="2025-08-23T03:40:43.42" personId="{A7EEC117-0184-4729-AB7D-A83863F0D127}" id="{A84A59BA-0D62-4D30-8408-263F270258E1}">
    <text>Mumbai to Delhi</text>
  </threadedComment>
  <threadedComment ref="L4" dT="2025-08-23T03:40:43.42" personId="{A7EEC117-0184-4729-AB7D-A83863F0D127}" id="{89BE0464-364C-4682-BD3C-17F298716439}">
    <text>Mumbai to Delhi</text>
  </threadedComment>
  <threadedComment ref="M4" dT="2025-08-25T05:49:56.55" personId="{A7EEC117-0184-4729-AB7D-A83863F0D127}" id="{1FD547E0-D237-4182-8514-2321742A02E9}">
    <text xml:space="preserve">Mumbai to Delhi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"/>
  <sheetViews>
    <sheetView topLeftCell="A37" workbookViewId="0">
      <selection activeCell="I52" sqref="I52"/>
    </sheetView>
  </sheetViews>
  <sheetFormatPr defaultRowHeight="14.5"/>
  <cols>
    <col min="1" max="1" width="8.90625" bestFit="1" customWidth="1"/>
    <col min="2" max="2" width="17.08984375" bestFit="1" customWidth="1"/>
    <col min="3" max="3" width="17.08984375" customWidth="1"/>
    <col min="4" max="4" width="21.7265625" customWidth="1"/>
    <col min="5" max="5" width="10.08984375" customWidth="1"/>
    <col min="6" max="6" width="9.1796875" customWidth="1"/>
    <col min="7" max="7" width="10.26953125" customWidth="1"/>
    <col min="8" max="8" width="7.81640625" bestFit="1" customWidth="1"/>
    <col min="9" max="17" width="4.81640625" customWidth="1"/>
    <col min="18" max="38" width="5.6328125" customWidth="1"/>
    <col min="39" max="39" width="4.81640625" customWidth="1"/>
  </cols>
  <sheetData>
    <row r="1" spans="1:39" ht="15.5">
      <c r="A1" s="96" t="s">
        <v>80</v>
      </c>
      <c r="B1" s="96"/>
      <c r="C1" s="96"/>
      <c r="D1" s="96"/>
      <c r="E1" s="97" t="s">
        <v>10</v>
      </c>
      <c r="F1" s="97" t="s">
        <v>11</v>
      </c>
      <c r="G1" s="97" t="s">
        <v>12</v>
      </c>
      <c r="H1" s="97" t="s">
        <v>13</v>
      </c>
      <c r="I1" s="75" t="s">
        <v>3</v>
      </c>
      <c r="J1" s="75" t="s">
        <v>4</v>
      </c>
      <c r="K1" s="75" t="s">
        <v>5</v>
      </c>
      <c r="L1" s="75" t="s">
        <v>6</v>
      </c>
      <c r="M1" s="75" t="s">
        <v>0</v>
      </c>
      <c r="N1" s="75" t="s">
        <v>1</v>
      </c>
      <c r="O1" s="80" t="s">
        <v>2</v>
      </c>
      <c r="P1" s="75" t="s">
        <v>3</v>
      </c>
      <c r="Q1" s="75" t="s">
        <v>4</v>
      </c>
      <c r="R1" s="75" t="s">
        <v>5</v>
      </c>
      <c r="S1" s="75" t="s">
        <v>6</v>
      </c>
      <c r="T1" s="75" t="s">
        <v>0</v>
      </c>
      <c r="U1" s="75" t="s">
        <v>1</v>
      </c>
      <c r="V1" s="80" t="s">
        <v>2</v>
      </c>
      <c r="W1" s="75" t="s">
        <v>3</v>
      </c>
      <c r="X1" s="75" t="s">
        <v>4</v>
      </c>
      <c r="Y1" s="75" t="s">
        <v>5</v>
      </c>
      <c r="Z1" s="75" t="s">
        <v>6</v>
      </c>
      <c r="AA1" s="75" t="s">
        <v>0</v>
      </c>
      <c r="AB1" s="75" t="s">
        <v>1</v>
      </c>
      <c r="AC1" s="80" t="s">
        <v>2</v>
      </c>
      <c r="AD1" s="75" t="s">
        <v>3</v>
      </c>
      <c r="AE1" s="75" t="s">
        <v>4</v>
      </c>
      <c r="AF1" s="75" t="s">
        <v>5</v>
      </c>
      <c r="AG1" s="75" t="s">
        <v>6</v>
      </c>
      <c r="AH1" s="75" t="s">
        <v>0</v>
      </c>
      <c r="AI1" s="75" t="s">
        <v>1</v>
      </c>
      <c r="AJ1" s="80" t="s">
        <v>2</v>
      </c>
      <c r="AK1" s="75" t="s">
        <v>3</v>
      </c>
      <c r="AL1" s="75" t="s">
        <v>4</v>
      </c>
      <c r="AM1" s="95" t="s">
        <v>65</v>
      </c>
    </row>
    <row r="2" spans="1:39">
      <c r="A2" s="3" t="s">
        <v>7</v>
      </c>
      <c r="B2" s="3" t="s">
        <v>8</v>
      </c>
      <c r="C2" s="3" t="s">
        <v>57</v>
      </c>
      <c r="D2" s="3" t="s">
        <v>9</v>
      </c>
      <c r="E2" s="97"/>
      <c r="F2" s="97"/>
      <c r="G2" s="97"/>
      <c r="H2" s="97"/>
      <c r="I2" s="79">
        <v>45901</v>
      </c>
      <c r="J2" s="79">
        <v>45902</v>
      </c>
      <c r="K2" s="79">
        <v>45903</v>
      </c>
      <c r="L2" s="79">
        <v>45904</v>
      </c>
      <c r="M2" s="79">
        <v>45905</v>
      </c>
      <c r="N2" s="79">
        <v>45906</v>
      </c>
      <c r="O2" s="74">
        <v>45907</v>
      </c>
      <c r="P2" s="79">
        <v>45908</v>
      </c>
      <c r="Q2" s="79">
        <v>45909</v>
      </c>
      <c r="R2" s="79">
        <v>45910</v>
      </c>
      <c r="S2" s="79">
        <v>45911</v>
      </c>
      <c r="T2" s="79">
        <v>45912</v>
      </c>
      <c r="U2" s="79">
        <v>45913</v>
      </c>
      <c r="V2" s="74">
        <v>45914</v>
      </c>
      <c r="W2" s="79">
        <v>45915</v>
      </c>
      <c r="X2" s="79">
        <v>45916</v>
      </c>
      <c r="Y2" s="79">
        <v>45917</v>
      </c>
      <c r="Z2" s="79">
        <v>45918</v>
      </c>
      <c r="AA2" s="79">
        <v>45919</v>
      </c>
      <c r="AB2" s="79">
        <v>45920</v>
      </c>
      <c r="AC2" s="74">
        <v>45921</v>
      </c>
      <c r="AD2" s="79">
        <v>45922</v>
      </c>
      <c r="AE2" s="79">
        <v>45923</v>
      </c>
      <c r="AF2" s="79">
        <v>45924</v>
      </c>
      <c r="AG2" s="79">
        <v>45925</v>
      </c>
      <c r="AH2" s="79">
        <v>45926</v>
      </c>
      <c r="AI2" s="79">
        <v>45927</v>
      </c>
      <c r="AJ2" s="74">
        <v>45928</v>
      </c>
      <c r="AK2" s="79">
        <v>45929</v>
      </c>
      <c r="AL2" s="79">
        <v>45930</v>
      </c>
      <c r="AM2" s="95"/>
    </row>
    <row r="3" spans="1:39" s="64" customFormat="1">
      <c r="A3" s="85" t="s">
        <v>101</v>
      </c>
      <c r="B3" s="66" t="s">
        <v>52</v>
      </c>
      <c r="C3" s="66"/>
      <c r="D3" s="85" t="s">
        <v>67</v>
      </c>
      <c r="E3" s="66" t="s">
        <v>24</v>
      </c>
      <c r="F3" s="73">
        <v>45885</v>
      </c>
      <c r="G3" s="66" t="s">
        <v>36</v>
      </c>
      <c r="H3" s="66" t="s">
        <v>13</v>
      </c>
      <c r="I3" s="52" t="s">
        <v>34</v>
      </c>
      <c r="J3" s="52" t="s">
        <v>34</v>
      </c>
      <c r="K3" s="52" t="s">
        <v>34</v>
      </c>
      <c r="L3" s="52" t="s">
        <v>34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</row>
    <row r="4" spans="1:39" s="64" customFormat="1">
      <c r="A4" s="85" t="s">
        <v>101</v>
      </c>
      <c r="B4" s="66" t="s">
        <v>52</v>
      </c>
      <c r="C4" s="66"/>
      <c r="D4" s="85" t="s">
        <v>67</v>
      </c>
      <c r="E4" s="66" t="s">
        <v>24</v>
      </c>
      <c r="F4" s="73">
        <v>45885</v>
      </c>
      <c r="G4" s="66" t="s">
        <v>36</v>
      </c>
      <c r="H4" s="66" t="s">
        <v>32</v>
      </c>
      <c r="I4" s="52">
        <v>0.375</v>
      </c>
      <c r="J4" s="52">
        <v>0.47222222222222227</v>
      </c>
      <c r="K4" s="52">
        <v>0.3888888888888889</v>
      </c>
      <c r="L4" s="52">
        <v>0.3833333333333333</v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</row>
    <row r="5" spans="1:39">
      <c r="A5" s="85" t="s">
        <v>101</v>
      </c>
      <c r="B5" s="66" t="s">
        <v>52</v>
      </c>
      <c r="C5" s="66"/>
      <c r="D5" s="85" t="s">
        <v>67</v>
      </c>
      <c r="E5" s="66" t="s">
        <v>24</v>
      </c>
      <c r="F5" s="73">
        <v>45885</v>
      </c>
      <c r="G5" s="66" t="s">
        <v>36</v>
      </c>
      <c r="H5" s="66" t="s">
        <v>33</v>
      </c>
      <c r="I5" s="52">
        <v>8.3333333333333329E-2</v>
      </c>
      <c r="J5" s="52">
        <v>0.17361111111111113</v>
      </c>
      <c r="K5" s="52">
        <v>0.85416666666666663</v>
      </c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</row>
    <row r="6" spans="1:39">
      <c r="A6" s="76" t="s">
        <v>101</v>
      </c>
      <c r="B6" s="76" t="s">
        <v>52</v>
      </c>
      <c r="C6" s="67"/>
      <c r="D6" s="76" t="s">
        <v>67</v>
      </c>
      <c r="E6" s="76" t="s">
        <v>24</v>
      </c>
      <c r="F6" s="77">
        <v>45885</v>
      </c>
      <c r="G6" s="76" t="s">
        <v>36</v>
      </c>
      <c r="H6" s="76" t="s">
        <v>72</v>
      </c>
      <c r="I6" s="78">
        <f t="shared" ref="I6" si="0">IF(AND(ISBLANK(I4),ISBLANK(I5)),"A",IFERROR(+MOD(I5-I4,1),0))</f>
        <v>0.70833333333333326</v>
      </c>
      <c r="J6" s="78">
        <f t="shared" ref="J6" si="1">IF(AND(ISBLANK(J4),ISBLANK(J5)),"A",IFERROR(+MOD(J5-J4,1),0))</f>
        <v>0.70138888888888884</v>
      </c>
      <c r="K6" s="78">
        <f t="shared" ref="K6" si="2">IF(AND(ISBLANK(K4),ISBLANK(K5)),"A",IFERROR(+MOD(K5-K4,1),0))</f>
        <v>0.46527777777777773</v>
      </c>
      <c r="L6" s="78">
        <f t="shared" ref="L6" si="3">IF(AND(ISBLANK(L4),ISBLANK(L5)),"A",IFERROR(+MOD(L5-L4,1),0))</f>
        <v>0.6166666666666667</v>
      </c>
      <c r="M6" s="78" t="str">
        <f t="shared" ref="M6" si="4">IF(AND(ISBLANK(M4),ISBLANK(M5)),"A",IFERROR(+MOD(M5-M4,1),0))</f>
        <v>A</v>
      </c>
      <c r="N6" s="78" t="str">
        <f t="shared" ref="N6" si="5">IF(AND(ISBLANK(N4),ISBLANK(N5)),"A",IFERROR(+MOD(N5-N4,1),0))</f>
        <v>A</v>
      </c>
      <c r="O6" s="78" t="str">
        <f t="shared" ref="O6" si="6">IF(AND(ISBLANK(O4),ISBLANK(O5)),"A",IFERROR(+MOD(O5-O4,1),0))</f>
        <v>A</v>
      </c>
      <c r="P6" s="78" t="str">
        <f t="shared" ref="P6" si="7">IF(AND(ISBLANK(P4),ISBLANK(P5)),"A",IFERROR(+MOD(P5-P4,1),0))</f>
        <v>A</v>
      </c>
      <c r="Q6" s="78" t="str">
        <f t="shared" ref="Q6" si="8">IF(AND(ISBLANK(Q4),ISBLANK(Q5)),"A",IFERROR(+MOD(Q5-Q4,1),0))</f>
        <v>A</v>
      </c>
      <c r="R6" s="78" t="str">
        <f t="shared" ref="R6" si="9">IF(AND(ISBLANK(R4),ISBLANK(R5)),"A",IFERROR(+MOD(R5-R4,1),0))</f>
        <v>A</v>
      </c>
      <c r="S6" s="78" t="str">
        <f t="shared" ref="S6" si="10">IF(AND(ISBLANK(S4),ISBLANK(S5)),"A",IFERROR(+MOD(S5-S4,1),0))</f>
        <v>A</v>
      </c>
      <c r="T6" s="78" t="str">
        <f t="shared" ref="T6" si="11">IF(AND(ISBLANK(T4),ISBLANK(T5)),"A",IFERROR(+MOD(T5-T4,1),0))</f>
        <v>A</v>
      </c>
      <c r="U6" s="78" t="str">
        <f t="shared" ref="U6" si="12">IF(AND(ISBLANK(U4),ISBLANK(U5)),"A",IFERROR(+MOD(U5-U4,1),0))</f>
        <v>A</v>
      </c>
      <c r="V6" s="78" t="str">
        <f t="shared" ref="V6" si="13">IF(AND(ISBLANK(V4),ISBLANK(V5)),"A",IFERROR(+MOD(V5-V4,1),0))</f>
        <v>A</v>
      </c>
      <c r="W6" s="78" t="str">
        <f t="shared" ref="W6" si="14">IF(AND(ISBLANK(W4),ISBLANK(W5)),"A",IFERROR(+MOD(W5-W4,1),0))</f>
        <v>A</v>
      </c>
      <c r="X6" s="78" t="str">
        <f t="shared" ref="X6" si="15">IF(AND(ISBLANK(X4),ISBLANK(X5)),"A",IFERROR(+MOD(X5-X4,1),0))</f>
        <v>A</v>
      </c>
      <c r="Y6" s="78" t="str">
        <f t="shared" ref="Y6" si="16">IF(AND(ISBLANK(Y4),ISBLANK(Y5)),"A",IFERROR(+MOD(Y5-Y4,1),0))</f>
        <v>A</v>
      </c>
      <c r="Z6" s="78" t="str">
        <f t="shared" ref="Z6" si="17">IF(AND(ISBLANK(Z4),ISBLANK(Z5)),"A",IFERROR(+MOD(Z5-Z4,1),0))</f>
        <v>A</v>
      </c>
      <c r="AA6" s="78" t="str">
        <f t="shared" ref="AA6" si="18">IF(AND(ISBLANK(AA4),ISBLANK(AA5)),"A",IFERROR(+MOD(AA5-AA4,1),0))</f>
        <v>A</v>
      </c>
      <c r="AB6" s="78" t="str">
        <f t="shared" ref="AB6" si="19">IF(AND(ISBLANK(AB4),ISBLANK(AB5)),"A",IFERROR(+MOD(AB5-AB4,1),0))</f>
        <v>A</v>
      </c>
      <c r="AC6" s="78" t="str">
        <f t="shared" ref="AC6" si="20">IF(AND(ISBLANK(AC4),ISBLANK(AC5)),"A",IFERROR(+MOD(AC5-AC4,1),0))</f>
        <v>A</v>
      </c>
      <c r="AD6" s="78" t="str">
        <f t="shared" ref="AD6" si="21">IF(AND(ISBLANK(AD4),ISBLANK(AD5)),"A",IFERROR(+MOD(AD5-AD4,1),0))</f>
        <v>A</v>
      </c>
      <c r="AE6" s="78" t="str">
        <f t="shared" ref="AE6" si="22">IF(AND(ISBLANK(AE4),ISBLANK(AE5)),"A",IFERROR(+MOD(AE5-AE4,1),0))</f>
        <v>A</v>
      </c>
      <c r="AF6" s="78" t="str">
        <f t="shared" ref="AF6" si="23">IF(AND(ISBLANK(AF4),ISBLANK(AF5)),"A",IFERROR(+MOD(AF5-AF4,1),0))</f>
        <v>A</v>
      </c>
      <c r="AG6" s="78" t="str">
        <f t="shared" ref="AG6" si="24">IF(AND(ISBLANK(AG4),ISBLANK(AG5)),"A",IFERROR(+MOD(AG5-AG4,1),0))</f>
        <v>A</v>
      </c>
      <c r="AH6" s="78" t="str">
        <f t="shared" ref="AH6" si="25">IF(AND(ISBLANK(AH4),ISBLANK(AH5)),"A",IFERROR(+MOD(AH5-AH4,1),0))</f>
        <v>A</v>
      </c>
      <c r="AI6" s="78" t="str">
        <f t="shared" ref="AI6" si="26">IF(AND(ISBLANK(AI4),ISBLANK(AI5)),"A",IFERROR(+MOD(AI5-AI4,1),0))</f>
        <v>A</v>
      </c>
      <c r="AJ6" s="78" t="str">
        <f t="shared" ref="AJ6" si="27">IF(AND(ISBLANK(AJ4),ISBLANK(AJ5)),"A",IFERROR(+MOD(AJ5-AJ4,1),0))</f>
        <v>A</v>
      </c>
      <c r="AK6" s="78" t="str">
        <f t="shared" ref="AK6" si="28">IF(AND(ISBLANK(AK4),ISBLANK(AK5)),"A",IFERROR(+MOD(AK5-AK4,1),0))</f>
        <v>A</v>
      </c>
      <c r="AL6" s="78" t="str">
        <f t="shared" ref="AL6" si="29">IF(AND(ISBLANK(AL4),ISBLANK(AL5)),"A",IFERROR(+MOD(AL5-AL4,1),0))</f>
        <v>A</v>
      </c>
      <c r="AM6" s="78"/>
    </row>
    <row r="7" spans="1:39">
      <c r="A7" s="85" t="s">
        <v>84</v>
      </c>
      <c r="B7" s="84" t="s">
        <v>48</v>
      </c>
      <c r="C7" s="85"/>
      <c r="D7" s="85" t="s">
        <v>67</v>
      </c>
      <c r="E7" s="66" t="s">
        <v>24</v>
      </c>
      <c r="F7" s="73">
        <v>45885</v>
      </c>
      <c r="G7" s="66" t="s">
        <v>36</v>
      </c>
      <c r="H7" s="66" t="s">
        <v>13</v>
      </c>
      <c r="I7" s="52" t="s">
        <v>34</v>
      </c>
      <c r="J7" s="52" t="s">
        <v>71</v>
      </c>
      <c r="K7" s="52" t="s">
        <v>34</v>
      </c>
      <c r="L7" s="52" t="s">
        <v>34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</row>
    <row r="8" spans="1:39">
      <c r="A8" s="85" t="s">
        <v>84</v>
      </c>
      <c r="B8" s="84" t="s">
        <v>48</v>
      </c>
      <c r="C8" s="66"/>
      <c r="D8" s="85" t="s">
        <v>67</v>
      </c>
      <c r="E8" s="66" t="s">
        <v>24</v>
      </c>
      <c r="F8" s="73">
        <v>45885</v>
      </c>
      <c r="G8" s="66" t="s">
        <v>36</v>
      </c>
      <c r="H8" s="66" t="s">
        <v>32</v>
      </c>
      <c r="I8" s="52">
        <v>0.41666666666666669</v>
      </c>
      <c r="J8" s="52" t="s">
        <v>71</v>
      </c>
      <c r="K8" s="52">
        <v>0.40972222222222227</v>
      </c>
      <c r="L8" s="52">
        <v>0.41666666666666669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</row>
    <row r="9" spans="1:39">
      <c r="A9" s="85" t="s">
        <v>84</v>
      </c>
      <c r="B9" s="84" t="s">
        <v>48</v>
      </c>
      <c r="C9" s="66"/>
      <c r="D9" s="85" t="s">
        <v>67</v>
      </c>
      <c r="E9" s="66" t="s">
        <v>24</v>
      </c>
      <c r="F9" s="73">
        <v>45885</v>
      </c>
      <c r="G9" s="66" t="s">
        <v>36</v>
      </c>
      <c r="H9" s="66" t="s">
        <v>33</v>
      </c>
      <c r="I9" s="52">
        <v>0.875</v>
      </c>
      <c r="J9" s="52" t="s">
        <v>71</v>
      </c>
      <c r="K9" s="52">
        <v>4.8611111111111112E-2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</row>
    <row r="10" spans="1:39">
      <c r="A10" s="76" t="s">
        <v>84</v>
      </c>
      <c r="B10" s="76" t="s">
        <v>48</v>
      </c>
      <c r="C10" s="67"/>
      <c r="D10" s="76" t="s">
        <v>67</v>
      </c>
      <c r="E10" s="76" t="s">
        <v>24</v>
      </c>
      <c r="F10" s="77">
        <v>45885</v>
      </c>
      <c r="G10" s="76" t="s">
        <v>36</v>
      </c>
      <c r="H10" s="76" t="s">
        <v>72</v>
      </c>
      <c r="I10" s="78">
        <f t="shared" ref="I10" si="30">IF(AND(ISBLANK(I8),ISBLANK(I9)),"A",IFERROR(+MOD(I9-I8,1),0))</f>
        <v>0.45833333333333331</v>
      </c>
      <c r="J10" s="78" t="s">
        <v>71</v>
      </c>
      <c r="K10" s="78">
        <f t="shared" ref="K10" si="31">IF(AND(ISBLANK(K8),ISBLANK(K9)),"A",IFERROR(+MOD(K9-K8,1),0))</f>
        <v>0.63888888888888884</v>
      </c>
      <c r="L10" s="78">
        <f t="shared" ref="L10" si="32">IF(AND(ISBLANK(L8),ISBLANK(L9)),"A",IFERROR(+MOD(L9-L8,1),0))</f>
        <v>0.58333333333333326</v>
      </c>
      <c r="M10" s="78" t="str">
        <f t="shared" ref="M10" si="33">IF(AND(ISBLANK(M8),ISBLANK(M9)),"A",IFERROR(+MOD(M9-M8,1),0))</f>
        <v>A</v>
      </c>
      <c r="N10" s="78" t="str">
        <f t="shared" ref="N10" si="34">IF(AND(ISBLANK(N8),ISBLANK(N9)),"A",IFERROR(+MOD(N9-N8,1),0))</f>
        <v>A</v>
      </c>
      <c r="O10" s="78" t="str">
        <f t="shared" ref="O10" si="35">IF(AND(ISBLANK(O8),ISBLANK(O9)),"A",IFERROR(+MOD(O9-O8,1),0))</f>
        <v>A</v>
      </c>
      <c r="P10" s="78" t="str">
        <f t="shared" ref="P10" si="36">IF(AND(ISBLANK(P8),ISBLANK(P9)),"A",IFERROR(+MOD(P9-P8,1),0))</f>
        <v>A</v>
      </c>
      <c r="Q10" s="78" t="str">
        <f t="shared" ref="Q10" si="37">IF(AND(ISBLANK(Q8),ISBLANK(Q9)),"A",IFERROR(+MOD(Q9-Q8,1),0))</f>
        <v>A</v>
      </c>
      <c r="R10" s="78" t="str">
        <f t="shared" ref="R10" si="38">IF(AND(ISBLANK(R8),ISBLANK(R9)),"A",IFERROR(+MOD(R9-R8,1),0))</f>
        <v>A</v>
      </c>
      <c r="S10" s="78" t="str">
        <f t="shared" ref="S10" si="39">IF(AND(ISBLANK(S8),ISBLANK(S9)),"A",IFERROR(+MOD(S9-S8,1),0))</f>
        <v>A</v>
      </c>
      <c r="T10" s="78" t="str">
        <f t="shared" ref="T10" si="40">IF(AND(ISBLANK(T8),ISBLANK(T9)),"A",IFERROR(+MOD(T9-T8,1),0))</f>
        <v>A</v>
      </c>
      <c r="U10" s="78" t="str">
        <f t="shared" ref="U10" si="41">IF(AND(ISBLANK(U8),ISBLANK(U9)),"A",IFERROR(+MOD(U9-U8,1),0))</f>
        <v>A</v>
      </c>
      <c r="V10" s="78" t="str">
        <f t="shared" ref="V10" si="42">IF(AND(ISBLANK(V8),ISBLANK(V9)),"A",IFERROR(+MOD(V9-V8,1),0))</f>
        <v>A</v>
      </c>
      <c r="W10" s="78" t="str">
        <f t="shared" ref="W10" si="43">IF(AND(ISBLANK(W8),ISBLANK(W9)),"A",IFERROR(+MOD(W9-W8,1),0))</f>
        <v>A</v>
      </c>
      <c r="X10" s="78" t="str">
        <f t="shared" ref="X10" si="44">IF(AND(ISBLANK(X8),ISBLANK(X9)),"A",IFERROR(+MOD(X9-X8,1),0))</f>
        <v>A</v>
      </c>
      <c r="Y10" s="78" t="str">
        <f t="shared" ref="Y10" si="45">IF(AND(ISBLANK(Y8),ISBLANK(Y9)),"A",IFERROR(+MOD(Y9-Y8,1),0))</f>
        <v>A</v>
      </c>
      <c r="Z10" s="78" t="str">
        <f t="shared" ref="Z10" si="46">IF(AND(ISBLANK(Z8),ISBLANK(Z9)),"A",IFERROR(+MOD(Z9-Z8,1),0))</f>
        <v>A</v>
      </c>
      <c r="AA10" s="78" t="str">
        <f t="shared" ref="AA10" si="47">IF(AND(ISBLANK(AA8),ISBLANK(AA9)),"A",IFERROR(+MOD(AA9-AA8,1),0))</f>
        <v>A</v>
      </c>
      <c r="AB10" s="78" t="str">
        <f t="shared" ref="AB10" si="48">IF(AND(ISBLANK(AB8),ISBLANK(AB9)),"A",IFERROR(+MOD(AB9-AB8,1),0))</f>
        <v>A</v>
      </c>
      <c r="AC10" s="78" t="str">
        <f t="shared" ref="AC10" si="49">IF(AND(ISBLANK(AC8),ISBLANK(AC9)),"A",IFERROR(+MOD(AC9-AC8,1),0))</f>
        <v>A</v>
      </c>
      <c r="AD10" s="78" t="str">
        <f t="shared" ref="AD10" si="50">IF(AND(ISBLANK(AD8),ISBLANK(AD9)),"A",IFERROR(+MOD(AD9-AD8,1),0))</f>
        <v>A</v>
      </c>
      <c r="AE10" s="78" t="str">
        <f t="shared" ref="AE10" si="51">IF(AND(ISBLANK(AE8),ISBLANK(AE9)),"A",IFERROR(+MOD(AE9-AE8,1),0))</f>
        <v>A</v>
      </c>
      <c r="AF10" s="78" t="str">
        <f t="shared" ref="AF10" si="52">IF(AND(ISBLANK(AF8),ISBLANK(AF9)),"A",IFERROR(+MOD(AF9-AF8,1),0))</f>
        <v>A</v>
      </c>
      <c r="AG10" s="78" t="str">
        <f t="shared" ref="AG10" si="53">IF(AND(ISBLANK(AG8),ISBLANK(AG9)),"A",IFERROR(+MOD(AG9-AG8,1),0))</f>
        <v>A</v>
      </c>
      <c r="AH10" s="78" t="str">
        <f t="shared" ref="AH10" si="54">IF(AND(ISBLANK(AH8),ISBLANK(AH9)),"A",IFERROR(+MOD(AH9-AH8,1),0))</f>
        <v>A</v>
      </c>
      <c r="AI10" s="78" t="str">
        <f t="shared" ref="AI10" si="55">IF(AND(ISBLANK(AI8),ISBLANK(AI9)),"A",IFERROR(+MOD(AI9-AI8,1),0))</f>
        <v>A</v>
      </c>
      <c r="AJ10" s="78" t="str">
        <f t="shared" ref="AJ10" si="56">IF(AND(ISBLANK(AJ8),ISBLANK(AJ9)),"A",IFERROR(+MOD(AJ9-AJ8,1),0))</f>
        <v>A</v>
      </c>
      <c r="AK10" s="78" t="str">
        <f t="shared" ref="AK10" si="57">IF(AND(ISBLANK(AK8),ISBLANK(AK9)),"A",IFERROR(+MOD(AK9-AK8,1),0))</f>
        <v>A</v>
      </c>
      <c r="AL10" s="78" t="str">
        <f t="shared" ref="AL10" si="58">IF(AND(ISBLANK(AL8),ISBLANK(AL9)),"A",IFERROR(+MOD(AL9-AL8,1),0))</f>
        <v>A</v>
      </c>
      <c r="AM10" s="78"/>
    </row>
    <row r="11" spans="1:39">
      <c r="A11" s="85" t="s">
        <v>85</v>
      </c>
      <c r="B11" s="84" t="s">
        <v>51</v>
      </c>
      <c r="C11" s="84" t="s">
        <v>58</v>
      </c>
      <c r="D11" s="85" t="s">
        <v>67</v>
      </c>
      <c r="E11" s="66" t="s">
        <v>24</v>
      </c>
      <c r="F11" s="73">
        <v>45881</v>
      </c>
      <c r="G11" s="66" t="s">
        <v>36</v>
      </c>
      <c r="H11" s="66" t="s">
        <v>13</v>
      </c>
      <c r="I11" s="52" t="s">
        <v>34</v>
      </c>
      <c r="J11" s="52" t="s">
        <v>34</v>
      </c>
      <c r="K11" s="52" t="s">
        <v>34</v>
      </c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</row>
    <row r="12" spans="1:39">
      <c r="A12" s="85" t="s">
        <v>85</v>
      </c>
      <c r="B12" s="84" t="s">
        <v>51</v>
      </c>
      <c r="C12" s="84" t="s">
        <v>58</v>
      </c>
      <c r="D12" s="85" t="s">
        <v>67</v>
      </c>
      <c r="E12" s="66" t="s">
        <v>24</v>
      </c>
      <c r="F12" s="73">
        <v>45881</v>
      </c>
      <c r="G12" s="66" t="s">
        <v>36</v>
      </c>
      <c r="H12" s="66" t="s">
        <v>32</v>
      </c>
      <c r="I12" s="52">
        <v>0.41666666666666669</v>
      </c>
      <c r="J12" s="52">
        <v>0.47222222222222227</v>
      </c>
      <c r="K12" s="52">
        <v>0.4548611111111111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</row>
    <row r="13" spans="1:39">
      <c r="A13" s="85" t="s">
        <v>85</v>
      </c>
      <c r="B13" s="84" t="s">
        <v>51</v>
      </c>
      <c r="C13" s="84" t="s">
        <v>58</v>
      </c>
      <c r="D13" s="85" t="s">
        <v>67</v>
      </c>
      <c r="E13" s="66" t="s">
        <v>24</v>
      </c>
      <c r="F13" s="73">
        <v>45881</v>
      </c>
      <c r="G13" s="66" t="s">
        <v>36</v>
      </c>
      <c r="H13" s="66" t="s">
        <v>33</v>
      </c>
      <c r="I13" s="52">
        <v>8.3333333333333329E-2</v>
      </c>
      <c r="J13" s="52">
        <v>8.3333333333333329E-2</v>
      </c>
      <c r="K13" s="52">
        <v>0.1875</v>
      </c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</row>
    <row r="14" spans="1:39">
      <c r="A14" s="76" t="s">
        <v>85</v>
      </c>
      <c r="B14" s="76" t="s">
        <v>51</v>
      </c>
      <c r="C14" s="76" t="s">
        <v>58</v>
      </c>
      <c r="D14" s="76" t="s">
        <v>67</v>
      </c>
      <c r="E14" s="76" t="s">
        <v>24</v>
      </c>
      <c r="F14" s="77">
        <v>45881</v>
      </c>
      <c r="G14" s="76" t="s">
        <v>36</v>
      </c>
      <c r="H14" s="76" t="s">
        <v>72</v>
      </c>
      <c r="I14" s="78">
        <f t="shared" ref="I14" si="59">IF(AND(ISBLANK(I12),ISBLANK(I13)),"A",IFERROR(+MOD(I13-I12,1),0))</f>
        <v>0.66666666666666663</v>
      </c>
      <c r="J14" s="78">
        <f t="shared" ref="J14" si="60">IF(AND(ISBLANK(J12),ISBLANK(J13)),"A",IFERROR(+MOD(J13-J12,1),0))</f>
        <v>0.61111111111111105</v>
      </c>
      <c r="K14" s="78">
        <f t="shared" ref="K14" si="61">IF(AND(ISBLANK(K12),ISBLANK(K13)),"A",IFERROR(+MOD(K13-K12,1),0))</f>
        <v>0.73263888888888884</v>
      </c>
      <c r="L14" s="78" t="str">
        <f t="shared" ref="L14" si="62">IF(AND(ISBLANK(L12),ISBLANK(L13)),"A",IFERROR(+MOD(L13-L12,1),0))</f>
        <v>A</v>
      </c>
      <c r="M14" s="78" t="str">
        <f t="shared" ref="M14" si="63">IF(AND(ISBLANK(M12),ISBLANK(M13)),"A",IFERROR(+MOD(M13-M12,1),0))</f>
        <v>A</v>
      </c>
      <c r="N14" s="78" t="str">
        <f t="shared" ref="N14" si="64">IF(AND(ISBLANK(N12),ISBLANK(N13)),"A",IFERROR(+MOD(N13-N12,1),0))</f>
        <v>A</v>
      </c>
      <c r="O14" s="78" t="str">
        <f t="shared" ref="O14" si="65">IF(AND(ISBLANK(O12),ISBLANK(O13)),"A",IFERROR(+MOD(O13-O12,1),0))</f>
        <v>A</v>
      </c>
      <c r="P14" s="78" t="str">
        <f t="shared" ref="P14" si="66">IF(AND(ISBLANK(P12),ISBLANK(P13)),"A",IFERROR(+MOD(P13-P12,1),0))</f>
        <v>A</v>
      </c>
      <c r="Q14" s="78" t="str">
        <f t="shared" ref="Q14" si="67">IF(AND(ISBLANK(Q12),ISBLANK(Q13)),"A",IFERROR(+MOD(Q13-Q12,1),0))</f>
        <v>A</v>
      </c>
      <c r="R14" s="78" t="str">
        <f t="shared" ref="R14" si="68">IF(AND(ISBLANK(R12),ISBLANK(R13)),"A",IFERROR(+MOD(R13-R12,1),0))</f>
        <v>A</v>
      </c>
      <c r="S14" s="78" t="str">
        <f t="shared" ref="S14" si="69">IF(AND(ISBLANK(S12),ISBLANK(S13)),"A",IFERROR(+MOD(S13-S12,1),0))</f>
        <v>A</v>
      </c>
      <c r="T14" s="78" t="str">
        <f t="shared" ref="T14" si="70">IF(AND(ISBLANK(T12),ISBLANK(T13)),"A",IFERROR(+MOD(T13-T12,1),0))</f>
        <v>A</v>
      </c>
      <c r="U14" s="78" t="str">
        <f t="shared" ref="U14" si="71">IF(AND(ISBLANK(U12),ISBLANK(U13)),"A",IFERROR(+MOD(U13-U12,1),0))</f>
        <v>A</v>
      </c>
      <c r="V14" s="78" t="str">
        <f t="shared" ref="V14" si="72">IF(AND(ISBLANK(V12),ISBLANK(V13)),"A",IFERROR(+MOD(V13-V12,1),0))</f>
        <v>A</v>
      </c>
      <c r="W14" s="78" t="str">
        <f t="shared" ref="W14" si="73">IF(AND(ISBLANK(W12),ISBLANK(W13)),"A",IFERROR(+MOD(W13-W12,1),0))</f>
        <v>A</v>
      </c>
      <c r="X14" s="78" t="str">
        <f t="shared" ref="X14" si="74">IF(AND(ISBLANK(X12),ISBLANK(X13)),"A",IFERROR(+MOD(X13-X12,1),0))</f>
        <v>A</v>
      </c>
      <c r="Y14" s="78" t="str">
        <f t="shared" ref="Y14" si="75">IF(AND(ISBLANK(Y12),ISBLANK(Y13)),"A",IFERROR(+MOD(Y13-Y12,1),0))</f>
        <v>A</v>
      </c>
      <c r="Z14" s="78" t="str">
        <f t="shared" ref="Z14" si="76">IF(AND(ISBLANK(Z12),ISBLANK(Z13)),"A",IFERROR(+MOD(Z13-Z12,1),0))</f>
        <v>A</v>
      </c>
      <c r="AA14" s="78" t="str">
        <f t="shared" ref="AA14" si="77">IF(AND(ISBLANK(AA12),ISBLANK(AA13)),"A",IFERROR(+MOD(AA13-AA12,1),0))</f>
        <v>A</v>
      </c>
      <c r="AB14" s="78" t="str">
        <f t="shared" ref="AB14" si="78">IF(AND(ISBLANK(AB12),ISBLANK(AB13)),"A",IFERROR(+MOD(AB13-AB12,1),0))</f>
        <v>A</v>
      </c>
      <c r="AC14" s="78" t="str">
        <f t="shared" ref="AC14" si="79">IF(AND(ISBLANK(AC12),ISBLANK(AC13)),"A",IFERROR(+MOD(AC13-AC12,1),0))</f>
        <v>A</v>
      </c>
      <c r="AD14" s="78" t="str">
        <f t="shared" ref="AD14" si="80">IF(AND(ISBLANK(AD12),ISBLANK(AD13)),"A",IFERROR(+MOD(AD13-AD12,1),0))</f>
        <v>A</v>
      </c>
      <c r="AE14" s="78" t="str">
        <f t="shared" ref="AE14" si="81">IF(AND(ISBLANK(AE12),ISBLANK(AE13)),"A",IFERROR(+MOD(AE13-AE12,1),0))</f>
        <v>A</v>
      </c>
      <c r="AF14" s="78" t="str">
        <f t="shared" ref="AF14" si="82">IF(AND(ISBLANK(AF12),ISBLANK(AF13)),"A",IFERROR(+MOD(AF13-AF12,1),0))</f>
        <v>A</v>
      </c>
      <c r="AG14" s="78" t="str">
        <f t="shared" ref="AG14" si="83">IF(AND(ISBLANK(AG12),ISBLANK(AG13)),"A",IFERROR(+MOD(AG13-AG12,1),0))</f>
        <v>A</v>
      </c>
      <c r="AH14" s="78" t="str">
        <f t="shared" ref="AH14" si="84">IF(AND(ISBLANK(AH12),ISBLANK(AH13)),"A",IFERROR(+MOD(AH13-AH12,1),0))</f>
        <v>A</v>
      </c>
      <c r="AI14" s="78" t="str">
        <f t="shared" ref="AI14" si="85">IF(AND(ISBLANK(AI12),ISBLANK(AI13)),"A",IFERROR(+MOD(AI13-AI12,1),0))</f>
        <v>A</v>
      </c>
      <c r="AJ14" s="78" t="str">
        <f t="shared" ref="AJ14" si="86">IF(AND(ISBLANK(AJ12),ISBLANK(AJ13)),"A",IFERROR(+MOD(AJ13-AJ12,1),0))</f>
        <v>A</v>
      </c>
      <c r="AK14" s="78" t="str">
        <f t="shared" ref="AK14" si="87">IF(AND(ISBLANK(AK12),ISBLANK(AK13)),"A",IFERROR(+MOD(AK13-AK12,1),0))</f>
        <v>A</v>
      </c>
      <c r="AL14" s="78" t="str">
        <f t="shared" ref="AL14" si="88">IF(AND(ISBLANK(AL12),ISBLANK(AL13)),"A",IFERROR(+MOD(AL13-AL12,1),0))</f>
        <v>A</v>
      </c>
      <c r="AM14" s="78"/>
    </row>
    <row r="15" spans="1:39">
      <c r="A15" s="85" t="s">
        <v>87</v>
      </c>
      <c r="B15" s="84" t="s">
        <v>55</v>
      </c>
      <c r="C15" s="84" t="s">
        <v>102</v>
      </c>
      <c r="D15" s="85" t="s">
        <v>86</v>
      </c>
      <c r="E15" s="66" t="s">
        <v>24</v>
      </c>
      <c r="F15" s="73">
        <v>45885</v>
      </c>
      <c r="G15" s="66" t="s">
        <v>36</v>
      </c>
      <c r="H15" s="66" t="s">
        <v>13</v>
      </c>
      <c r="I15" s="52" t="s">
        <v>34</v>
      </c>
      <c r="J15" s="52" t="s">
        <v>34</v>
      </c>
      <c r="K15" s="52" t="s">
        <v>34</v>
      </c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</row>
    <row r="16" spans="1:39">
      <c r="A16" s="85" t="s">
        <v>87</v>
      </c>
      <c r="B16" s="84" t="s">
        <v>55</v>
      </c>
      <c r="C16" s="84" t="s">
        <v>102</v>
      </c>
      <c r="D16" s="85" t="s">
        <v>86</v>
      </c>
      <c r="E16" s="66" t="s">
        <v>24</v>
      </c>
      <c r="F16" s="73">
        <v>45885</v>
      </c>
      <c r="G16" s="66" t="s">
        <v>36</v>
      </c>
      <c r="H16" s="66" t="s">
        <v>32</v>
      </c>
      <c r="I16" s="52">
        <v>0.41666666666666669</v>
      </c>
      <c r="J16" s="52">
        <v>0.54166666666666663</v>
      </c>
      <c r="K16" s="52">
        <v>0.4548611111111111</v>
      </c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</row>
    <row r="17" spans="1:39">
      <c r="A17" s="85" t="s">
        <v>87</v>
      </c>
      <c r="B17" s="84" t="s">
        <v>55</v>
      </c>
      <c r="C17" s="84" t="s">
        <v>102</v>
      </c>
      <c r="D17" s="85" t="s">
        <v>86</v>
      </c>
      <c r="E17" s="66" t="s">
        <v>24</v>
      </c>
      <c r="F17" s="73">
        <v>45885</v>
      </c>
      <c r="G17" s="66" t="s">
        <v>36</v>
      </c>
      <c r="H17" s="66" t="s">
        <v>33</v>
      </c>
      <c r="I17" s="52">
        <v>8.3333333333333329E-2</v>
      </c>
      <c r="J17" s="52">
        <v>8.3333333333333329E-2</v>
      </c>
      <c r="K17" s="52">
        <v>0.1875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</row>
    <row r="18" spans="1:39">
      <c r="A18" s="76" t="s">
        <v>87</v>
      </c>
      <c r="B18" s="76" t="s">
        <v>55</v>
      </c>
      <c r="C18" s="76" t="s">
        <v>102</v>
      </c>
      <c r="D18" s="76" t="s">
        <v>86</v>
      </c>
      <c r="E18" s="76" t="s">
        <v>24</v>
      </c>
      <c r="F18" s="77">
        <v>45885</v>
      </c>
      <c r="G18" s="76" t="s">
        <v>36</v>
      </c>
      <c r="H18" s="76" t="s">
        <v>72</v>
      </c>
      <c r="I18" s="78">
        <f t="shared" ref="I18" si="89">IF(AND(ISBLANK(I16),ISBLANK(I17)),"A",IFERROR(+MOD(I17-I16,1),0))</f>
        <v>0.66666666666666663</v>
      </c>
      <c r="J18" s="78">
        <f t="shared" ref="J18" si="90">IF(AND(ISBLANK(J16),ISBLANK(J17)),"A",IFERROR(+MOD(J17-J16,1),0))</f>
        <v>0.54166666666666674</v>
      </c>
      <c r="K18" s="78">
        <f t="shared" ref="K18" si="91">IF(AND(ISBLANK(K16),ISBLANK(K17)),"A",IFERROR(+MOD(K17-K16,1),0))</f>
        <v>0.73263888888888884</v>
      </c>
      <c r="L18" s="78" t="str">
        <f t="shared" ref="L18" si="92">IF(AND(ISBLANK(L16),ISBLANK(L17)),"A",IFERROR(+MOD(L17-L16,1),0))</f>
        <v>A</v>
      </c>
      <c r="M18" s="78" t="str">
        <f t="shared" ref="M18" si="93">IF(AND(ISBLANK(M16),ISBLANK(M17)),"A",IFERROR(+MOD(M17-M16,1),0))</f>
        <v>A</v>
      </c>
      <c r="N18" s="78" t="str">
        <f t="shared" ref="N18" si="94">IF(AND(ISBLANK(N16),ISBLANK(N17)),"A",IFERROR(+MOD(N17-N16,1),0))</f>
        <v>A</v>
      </c>
      <c r="O18" s="78" t="str">
        <f t="shared" ref="O18" si="95">IF(AND(ISBLANK(O16),ISBLANK(O17)),"A",IFERROR(+MOD(O17-O16,1),0))</f>
        <v>A</v>
      </c>
      <c r="P18" s="78" t="str">
        <f t="shared" ref="P18" si="96">IF(AND(ISBLANK(P16),ISBLANK(P17)),"A",IFERROR(+MOD(P17-P16,1),0))</f>
        <v>A</v>
      </c>
      <c r="Q18" s="78" t="str">
        <f t="shared" ref="Q18" si="97">IF(AND(ISBLANK(Q16),ISBLANK(Q17)),"A",IFERROR(+MOD(Q17-Q16,1),0))</f>
        <v>A</v>
      </c>
      <c r="R18" s="78" t="str">
        <f t="shared" ref="R18" si="98">IF(AND(ISBLANK(R16),ISBLANK(R17)),"A",IFERROR(+MOD(R17-R16,1),0))</f>
        <v>A</v>
      </c>
      <c r="S18" s="78" t="str">
        <f t="shared" ref="S18" si="99">IF(AND(ISBLANK(S16),ISBLANK(S17)),"A",IFERROR(+MOD(S17-S16,1),0))</f>
        <v>A</v>
      </c>
      <c r="T18" s="78" t="str">
        <f t="shared" ref="T18" si="100">IF(AND(ISBLANK(T16),ISBLANK(T17)),"A",IFERROR(+MOD(T17-T16,1),0))</f>
        <v>A</v>
      </c>
      <c r="U18" s="78" t="str">
        <f t="shared" ref="U18" si="101">IF(AND(ISBLANK(U16),ISBLANK(U17)),"A",IFERROR(+MOD(U17-U16,1),0))</f>
        <v>A</v>
      </c>
      <c r="V18" s="78" t="str">
        <f t="shared" ref="V18" si="102">IF(AND(ISBLANK(V16),ISBLANK(V17)),"A",IFERROR(+MOD(V17-V16,1),0))</f>
        <v>A</v>
      </c>
      <c r="W18" s="78" t="str">
        <f t="shared" ref="W18" si="103">IF(AND(ISBLANK(W16),ISBLANK(W17)),"A",IFERROR(+MOD(W17-W16,1),0))</f>
        <v>A</v>
      </c>
      <c r="X18" s="78" t="str">
        <f t="shared" ref="X18" si="104">IF(AND(ISBLANK(X16),ISBLANK(X17)),"A",IFERROR(+MOD(X17-X16,1),0))</f>
        <v>A</v>
      </c>
      <c r="Y18" s="78" t="str">
        <f t="shared" ref="Y18" si="105">IF(AND(ISBLANK(Y16),ISBLANK(Y17)),"A",IFERROR(+MOD(Y17-Y16,1),0))</f>
        <v>A</v>
      </c>
      <c r="Z18" s="78" t="str">
        <f t="shared" ref="Z18" si="106">IF(AND(ISBLANK(Z16),ISBLANK(Z17)),"A",IFERROR(+MOD(Z17-Z16,1),0))</f>
        <v>A</v>
      </c>
      <c r="AA18" s="78" t="str">
        <f t="shared" ref="AA18" si="107">IF(AND(ISBLANK(AA16),ISBLANK(AA17)),"A",IFERROR(+MOD(AA17-AA16,1),0))</f>
        <v>A</v>
      </c>
      <c r="AB18" s="78" t="str">
        <f t="shared" ref="AB18" si="108">IF(AND(ISBLANK(AB16),ISBLANK(AB17)),"A",IFERROR(+MOD(AB17-AB16,1),0))</f>
        <v>A</v>
      </c>
      <c r="AC18" s="78" t="str">
        <f t="shared" ref="AC18" si="109">IF(AND(ISBLANK(AC16),ISBLANK(AC17)),"A",IFERROR(+MOD(AC17-AC16,1),0))</f>
        <v>A</v>
      </c>
      <c r="AD18" s="78" t="str">
        <f t="shared" ref="AD18" si="110">IF(AND(ISBLANK(AD16),ISBLANK(AD17)),"A",IFERROR(+MOD(AD17-AD16,1),0))</f>
        <v>A</v>
      </c>
      <c r="AE18" s="78" t="str">
        <f t="shared" ref="AE18" si="111">IF(AND(ISBLANK(AE16),ISBLANK(AE17)),"A",IFERROR(+MOD(AE17-AE16,1),0))</f>
        <v>A</v>
      </c>
      <c r="AF18" s="78" t="str">
        <f t="shared" ref="AF18" si="112">IF(AND(ISBLANK(AF16),ISBLANK(AF17)),"A",IFERROR(+MOD(AF17-AF16,1),0))</f>
        <v>A</v>
      </c>
      <c r="AG18" s="78" t="str">
        <f t="shared" ref="AG18" si="113">IF(AND(ISBLANK(AG16),ISBLANK(AG17)),"A",IFERROR(+MOD(AG17-AG16,1),0))</f>
        <v>A</v>
      </c>
      <c r="AH18" s="78" t="str">
        <f t="shared" ref="AH18" si="114">IF(AND(ISBLANK(AH16),ISBLANK(AH17)),"A",IFERROR(+MOD(AH17-AH16,1),0))</f>
        <v>A</v>
      </c>
      <c r="AI18" s="78" t="str">
        <f t="shared" ref="AI18" si="115">IF(AND(ISBLANK(AI16),ISBLANK(AI17)),"A",IFERROR(+MOD(AI17-AI16,1),0))</f>
        <v>A</v>
      </c>
      <c r="AJ18" s="78" t="str">
        <f t="shared" ref="AJ18" si="116">IF(AND(ISBLANK(AJ16),ISBLANK(AJ17)),"A",IFERROR(+MOD(AJ17-AJ16,1),0))</f>
        <v>A</v>
      </c>
      <c r="AK18" s="78" t="str">
        <f t="shared" ref="AK18" si="117">IF(AND(ISBLANK(AK16),ISBLANK(AK17)),"A",IFERROR(+MOD(AK17-AK16,1),0))</f>
        <v>A</v>
      </c>
      <c r="AL18" s="78" t="str">
        <f t="shared" ref="AL18" si="118">IF(AND(ISBLANK(AL16),ISBLANK(AL17)),"A",IFERROR(+MOD(AL17-AL16,1),0))</f>
        <v>A</v>
      </c>
      <c r="AM18" s="78"/>
    </row>
    <row r="19" spans="1:39">
      <c r="A19" s="85" t="s">
        <v>89</v>
      </c>
      <c r="B19" s="84" t="s">
        <v>53</v>
      </c>
      <c r="C19" s="1"/>
      <c r="D19" s="85" t="s">
        <v>88</v>
      </c>
      <c r="E19" s="66" t="s">
        <v>24</v>
      </c>
      <c r="F19" s="73">
        <v>45886</v>
      </c>
      <c r="G19" s="66" t="s">
        <v>36</v>
      </c>
      <c r="H19" s="66" t="s">
        <v>13</v>
      </c>
      <c r="I19" s="52" t="s">
        <v>34</v>
      </c>
      <c r="J19" s="52" t="s">
        <v>34</v>
      </c>
      <c r="K19" s="52" t="s">
        <v>34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</row>
    <row r="20" spans="1:39">
      <c r="A20" s="85" t="s">
        <v>89</v>
      </c>
      <c r="B20" s="84" t="s">
        <v>53</v>
      </c>
      <c r="C20" s="1"/>
      <c r="D20" s="85" t="s">
        <v>88</v>
      </c>
      <c r="E20" s="66" t="s">
        <v>24</v>
      </c>
      <c r="F20" s="73">
        <v>45886</v>
      </c>
      <c r="G20" s="66" t="s">
        <v>36</v>
      </c>
      <c r="H20" s="66" t="s">
        <v>32</v>
      </c>
      <c r="I20" s="52">
        <v>0.41666666666666669</v>
      </c>
      <c r="J20" s="52">
        <v>0.47222222222222227</v>
      </c>
      <c r="K20" s="52">
        <v>0.4465277777777778</v>
      </c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</row>
    <row r="21" spans="1:39">
      <c r="A21" s="85" t="s">
        <v>89</v>
      </c>
      <c r="B21" s="84" t="s">
        <v>53</v>
      </c>
      <c r="C21" s="1"/>
      <c r="D21" s="85" t="s">
        <v>88</v>
      </c>
      <c r="E21" s="66" t="s">
        <v>24</v>
      </c>
      <c r="F21" s="73">
        <v>45886</v>
      </c>
      <c r="G21" s="66" t="s">
        <v>36</v>
      </c>
      <c r="H21" s="66" t="s">
        <v>33</v>
      </c>
      <c r="I21" s="52">
        <v>4.1666666666666664E-2</v>
      </c>
      <c r="J21" s="52">
        <v>8.3333333333333329E-2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</row>
    <row r="22" spans="1:39">
      <c r="A22" s="76" t="s">
        <v>89</v>
      </c>
      <c r="B22" s="76" t="s">
        <v>53</v>
      </c>
      <c r="C22" s="76"/>
      <c r="D22" s="76" t="s">
        <v>88</v>
      </c>
      <c r="E22" s="76" t="s">
        <v>24</v>
      </c>
      <c r="F22" s="77">
        <v>45886</v>
      </c>
      <c r="G22" s="76" t="s">
        <v>36</v>
      </c>
      <c r="H22" s="76" t="s">
        <v>72</v>
      </c>
      <c r="I22" s="78">
        <f t="shared" ref="I22" si="119">IF(AND(ISBLANK(I20),ISBLANK(I21)),"A",IFERROR(+MOD(I21-I20,1),0))</f>
        <v>0.625</v>
      </c>
      <c r="J22" s="78">
        <f t="shared" ref="J22" si="120">IF(AND(ISBLANK(J20),ISBLANK(J21)),"A",IFERROR(+MOD(J21-J20,1),0))</f>
        <v>0.61111111111111105</v>
      </c>
      <c r="K22" s="78">
        <f t="shared" ref="K22" si="121">IF(AND(ISBLANK(K20),ISBLANK(K21)),"A",IFERROR(+MOD(K21-K20,1),0))</f>
        <v>0.55347222222222214</v>
      </c>
      <c r="L22" s="78" t="str">
        <f t="shared" ref="L22" si="122">IF(AND(ISBLANK(L20),ISBLANK(L21)),"A",IFERROR(+MOD(L21-L20,1),0))</f>
        <v>A</v>
      </c>
      <c r="M22" s="78" t="str">
        <f t="shared" ref="M22" si="123">IF(AND(ISBLANK(M20),ISBLANK(M21)),"A",IFERROR(+MOD(M21-M20,1),0))</f>
        <v>A</v>
      </c>
      <c r="N22" s="78" t="str">
        <f t="shared" ref="N22" si="124">IF(AND(ISBLANK(N20),ISBLANK(N21)),"A",IFERROR(+MOD(N21-N20,1),0))</f>
        <v>A</v>
      </c>
      <c r="O22" s="78" t="str">
        <f t="shared" ref="O22" si="125">IF(AND(ISBLANK(O20),ISBLANK(O21)),"A",IFERROR(+MOD(O21-O20,1),0))</f>
        <v>A</v>
      </c>
      <c r="P22" s="78" t="str">
        <f t="shared" ref="P22" si="126">IF(AND(ISBLANK(P20),ISBLANK(P21)),"A",IFERROR(+MOD(P21-P20,1),0))</f>
        <v>A</v>
      </c>
      <c r="Q22" s="78" t="str">
        <f t="shared" ref="Q22" si="127">IF(AND(ISBLANK(Q20),ISBLANK(Q21)),"A",IFERROR(+MOD(Q21-Q20,1),0))</f>
        <v>A</v>
      </c>
      <c r="R22" s="78" t="str">
        <f t="shared" ref="R22" si="128">IF(AND(ISBLANK(R20),ISBLANK(R21)),"A",IFERROR(+MOD(R21-R20,1),0))</f>
        <v>A</v>
      </c>
      <c r="S22" s="78" t="str">
        <f t="shared" ref="S22" si="129">IF(AND(ISBLANK(S20),ISBLANK(S21)),"A",IFERROR(+MOD(S21-S20,1),0))</f>
        <v>A</v>
      </c>
      <c r="T22" s="78" t="str">
        <f t="shared" ref="T22" si="130">IF(AND(ISBLANK(T20),ISBLANK(T21)),"A",IFERROR(+MOD(T21-T20,1),0))</f>
        <v>A</v>
      </c>
      <c r="U22" s="78" t="str">
        <f t="shared" ref="U22" si="131">IF(AND(ISBLANK(U20),ISBLANK(U21)),"A",IFERROR(+MOD(U21-U20,1),0))</f>
        <v>A</v>
      </c>
      <c r="V22" s="78" t="str">
        <f t="shared" ref="V22" si="132">IF(AND(ISBLANK(V20),ISBLANK(V21)),"A",IFERROR(+MOD(V21-V20,1),0))</f>
        <v>A</v>
      </c>
      <c r="W22" s="78" t="str">
        <f t="shared" ref="W22" si="133">IF(AND(ISBLANK(W20),ISBLANK(W21)),"A",IFERROR(+MOD(W21-W20,1),0))</f>
        <v>A</v>
      </c>
      <c r="X22" s="78" t="str">
        <f t="shared" ref="X22" si="134">IF(AND(ISBLANK(X20),ISBLANK(X21)),"A",IFERROR(+MOD(X21-X20,1),0))</f>
        <v>A</v>
      </c>
      <c r="Y22" s="78" t="str">
        <f t="shared" ref="Y22" si="135">IF(AND(ISBLANK(Y20),ISBLANK(Y21)),"A",IFERROR(+MOD(Y21-Y20,1),0))</f>
        <v>A</v>
      </c>
      <c r="Z22" s="78" t="str">
        <f t="shared" ref="Z22" si="136">IF(AND(ISBLANK(Z20),ISBLANK(Z21)),"A",IFERROR(+MOD(Z21-Z20,1),0))</f>
        <v>A</v>
      </c>
      <c r="AA22" s="78" t="str">
        <f t="shared" ref="AA22" si="137">IF(AND(ISBLANK(AA20),ISBLANK(AA21)),"A",IFERROR(+MOD(AA21-AA20,1),0))</f>
        <v>A</v>
      </c>
      <c r="AB22" s="78" t="str">
        <f t="shared" ref="AB22" si="138">IF(AND(ISBLANK(AB20),ISBLANK(AB21)),"A",IFERROR(+MOD(AB21-AB20,1),0))</f>
        <v>A</v>
      </c>
      <c r="AC22" s="78" t="str">
        <f t="shared" ref="AC22" si="139">IF(AND(ISBLANK(AC20),ISBLANK(AC21)),"A",IFERROR(+MOD(AC21-AC20,1),0))</f>
        <v>A</v>
      </c>
      <c r="AD22" s="78" t="str">
        <f t="shared" ref="AD22" si="140">IF(AND(ISBLANK(AD20),ISBLANK(AD21)),"A",IFERROR(+MOD(AD21-AD20,1),0))</f>
        <v>A</v>
      </c>
      <c r="AE22" s="78" t="str">
        <f t="shared" ref="AE22" si="141">IF(AND(ISBLANK(AE20),ISBLANK(AE21)),"A",IFERROR(+MOD(AE21-AE20,1),0))</f>
        <v>A</v>
      </c>
      <c r="AF22" s="78" t="str">
        <f t="shared" ref="AF22" si="142">IF(AND(ISBLANK(AF20),ISBLANK(AF21)),"A",IFERROR(+MOD(AF21-AF20,1),0))</f>
        <v>A</v>
      </c>
      <c r="AG22" s="78" t="str">
        <f t="shared" ref="AG22" si="143">IF(AND(ISBLANK(AG20),ISBLANK(AG21)),"A",IFERROR(+MOD(AG21-AG20,1),0))</f>
        <v>A</v>
      </c>
      <c r="AH22" s="78" t="str">
        <f t="shared" ref="AH22" si="144">IF(AND(ISBLANK(AH20),ISBLANK(AH21)),"A",IFERROR(+MOD(AH21-AH20,1),0))</f>
        <v>A</v>
      </c>
      <c r="AI22" s="78" t="str">
        <f t="shared" ref="AI22" si="145">IF(AND(ISBLANK(AI20),ISBLANK(AI21)),"A",IFERROR(+MOD(AI21-AI20,1),0))</f>
        <v>A</v>
      </c>
      <c r="AJ22" s="78" t="str">
        <f t="shared" ref="AJ22" si="146">IF(AND(ISBLANK(AJ20),ISBLANK(AJ21)),"A",IFERROR(+MOD(AJ21-AJ20,1),0))</f>
        <v>A</v>
      </c>
      <c r="AK22" s="78" t="str">
        <f t="shared" ref="AK22" si="147">IF(AND(ISBLANK(AK20),ISBLANK(AK21)),"A",IFERROR(+MOD(AK21-AK20,1),0))</f>
        <v>A</v>
      </c>
      <c r="AL22" s="78" t="str">
        <f t="shared" ref="AL22" si="148">IF(AND(ISBLANK(AL20),ISBLANK(AL21)),"A",IFERROR(+MOD(AL21-AL20,1),0))</f>
        <v>A</v>
      </c>
      <c r="AM22" s="78"/>
    </row>
    <row r="23" spans="1:39">
      <c r="A23" s="85" t="s">
        <v>90</v>
      </c>
      <c r="B23" s="84" t="s">
        <v>49</v>
      </c>
      <c r="C23" s="1"/>
      <c r="D23" s="85" t="s">
        <v>86</v>
      </c>
      <c r="E23" s="66" t="s">
        <v>24</v>
      </c>
      <c r="F23" s="73">
        <v>45885</v>
      </c>
      <c r="G23" s="66" t="s">
        <v>36</v>
      </c>
      <c r="H23" s="66" t="s">
        <v>13</v>
      </c>
      <c r="I23" s="52" t="s">
        <v>34</v>
      </c>
      <c r="J23" s="52" t="s">
        <v>71</v>
      </c>
      <c r="K23" s="52" t="s">
        <v>34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</row>
    <row r="24" spans="1:39">
      <c r="A24" s="85" t="s">
        <v>90</v>
      </c>
      <c r="B24" s="84" t="s">
        <v>49</v>
      </c>
      <c r="C24" s="1"/>
      <c r="D24" s="85" t="s">
        <v>86</v>
      </c>
      <c r="E24" s="66" t="s">
        <v>24</v>
      </c>
      <c r="F24" s="73">
        <v>45885</v>
      </c>
      <c r="G24" s="66" t="s">
        <v>36</v>
      </c>
      <c r="H24" s="66" t="s">
        <v>32</v>
      </c>
      <c r="I24" s="52">
        <v>0.41666666666666669</v>
      </c>
      <c r="J24" s="52" t="s">
        <v>71</v>
      </c>
      <c r="K24" s="52">
        <v>0.4548611111111111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</row>
    <row r="25" spans="1:39">
      <c r="A25" s="85" t="s">
        <v>90</v>
      </c>
      <c r="B25" s="84" t="s">
        <v>49</v>
      </c>
      <c r="C25" s="1"/>
      <c r="D25" s="85" t="s">
        <v>86</v>
      </c>
      <c r="E25" s="66" t="s">
        <v>24</v>
      </c>
      <c r="F25" s="73">
        <v>45885</v>
      </c>
      <c r="G25" s="66" t="s">
        <v>36</v>
      </c>
      <c r="H25" s="66" t="s">
        <v>33</v>
      </c>
      <c r="I25" s="52">
        <v>6.25E-2</v>
      </c>
      <c r="J25" s="52" t="s">
        <v>71</v>
      </c>
      <c r="K25" s="52">
        <v>0.16666666666666666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</row>
    <row r="26" spans="1:39">
      <c r="A26" s="76" t="s">
        <v>90</v>
      </c>
      <c r="B26" s="76" t="s">
        <v>49</v>
      </c>
      <c r="C26" s="17"/>
      <c r="D26" s="76" t="s">
        <v>86</v>
      </c>
      <c r="E26" s="76" t="s">
        <v>24</v>
      </c>
      <c r="F26" s="77">
        <v>45885</v>
      </c>
      <c r="G26" s="76" t="s">
        <v>36</v>
      </c>
      <c r="H26" s="76" t="s">
        <v>72</v>
      </c>
      <c r="I26" s="78">
        <f t="shared" ref="I26" si="149">IF(AND(ISBLANK(I24),ISBLANK(I25)),"A",IFERROR(+MOD(I25-I24,1),0))</f>
        <v>0.64583333333333326</v>
      </c>
      <c r="J26" s="78" t="s">
        <v>71</v>
      </c>
      <c r="K26" s="78">
        <f t="shared" ref="K26" si="150">IF(AND(ISBLANK(K24),ISBLANK(K25)),"A",IFERROR(+MOD(K25-K24,1),0))</f>
        <v>0.71180555555555558</v>
      </c>
      <c r="L26" s="78" t="str">
        <f t="shared" ref="L26" si="151">IF(AND(ISBLANK(L24),ISBLANK(L25)),"A",IFERROR(+MOD(L25-L24,1),0))</f>
        <v>A</v>
      </c>
      <c r="M26" s="78" t="str">
        <f t="shared" ref="M26" si="152">IF(AND(ISBLANK(M24),ISBLANK(M25)),"A",IFERROR(+MOD(M25-M24,1),0))</f>
        <v>A</v>
      </c>
      <c r="N26" s="78" t="str">
        <f t="shared" ref="N26" si="153">IF(AND(ISBLANK(N24),ISBLANK(N25)),"A",IFERROR(+MOD(N25-N24,1),0))</f>
        <v>A</v>
      </c>
      <c r="O26" s="78" t="str">
        <f t="shared" ref="O26" si="154">IF(AND(ISBLANK(O24),ISBLANK(O25)),"A",IFERROR(+MOD(O25-O24,1),0))</f>
        <v>A</v>
      </c>
      <c r="P26" s="78" t="str">
        <f t="shared" ref="P26" si="155">IF(AND(ISBLANK(P24),ISBLANK(P25)),"A",IFERROR(+MOD(P25-P24,1),0))</f>
        <v>A</v>
      </c>
      <c r="Q26" s="78" t="str">
        <f t="shared" ref="Q26" si="156">IF(AND(ISBLANK(Q24),ISBLANK(Q25)),"A",IFERROR(+MOD(Q25-Q24,1),0))</f>
        <v>A</v>
      </c>
      <c r="R26" s="78" t="str">
        <f t="shared" ref="R26" si="157">IF(AND(ISBLANK(R24),ISBLANK(R25)),"A",IFERROR(+MOD(R25-R24,1),0))</f>
        <v>A</v>
      </c>
      <c r="S26" s="78" t="str">
        <f t="shared" ref="S26" si="158">IF(AND(ISBLANK(S24),ISBLANK(S25)),"A",IFERROR(+MOD(S25-S24,1),0))</f>
        <v>A</v>
      </c>
      <c r="T26" s="78" t="str">
        <f t="shared" ref="T26" si="159">IF(AND(ISBLANK(T24),ISBLANK(T25)),"A",IFERROR(+MOD(T25-T24,1),0))</f>
        <v>A</v>
      </c>
      <c r="U26" s="78" t="str">
        <f t="shared" ref="U26" si="160">IF(AND(ISBLANK(U24),ISBLANK(U25)),"A",IFERROR(+MOD(U25-U24,1),0))</f>
        <v>A</v>
      </c>
      <c r="V26" s="78" t="str">
        <f t="shared" ref="V26" si="161">IF(AND(ISBLANK(V24),ISBLANK(V25)),"A",IFERROR(+MOD(V25-V24,1),0))</f>
        <v>A</v>
      </c>
      <c r="W26" s="78" t="str">
        <f t="shared" ref="W26" si="162">IF(AND(ISBLANK(W24),ISBLANK(W25)),"A",IFERROR(+MOD(W25-W24,1),0))</f>
        <v>A</v>
      </c>
      <c r="X26" s="78" t="str">
        <f t="shared" ref="X26" si="163">IF(AND(ISBLANK(X24),ISBLANK(X25)),"A",IFERROR(+MOD(X25-X24,1),0))</f>
        <v>A</v>
      </c>
      <c r="Y26" s="78" t="str">
        <f t="shared" ref="Y26" si="164">IF(AND(ISBLANK(Y24),ISBLANK(Y25)),"A",IFERROR(+MOD(Y25-Y24,1),0))</f>
        <v>A</v>
      </c>
      <c r="Z26" s="78" t="str">
        <f t="shared" ref="Z26" si="165">IF(AND(ISBLANK(Z24),ISBLANK(Z25)),"A",IFERROR(+MOD(Z25-Z24,1),0))</f>
        <v>A</v>
      </c>
      <c r="AA26" s="78" t="str">
        <f t="shared" ref="AA26" si="166">IF(AND(ISBLANK(AA24),ISBLANK(AA25)),"A",IFERROR(+MOD(AA25-AA24,1),0))</f>
        <v>A</v>
      </c>
      <c r="AB26" s="78" t="str">
        <f t="shared" ref="AB26" si="167">IF(AND(ISBLANK(AB24),ISBLANK(AB25)),"A",IFERROR(+MOD(AB25-AB24,1),0))</f>
        <v>A</v>
      </c>
      <c r="AC26" s="78" t="str">
        <f t="shared" ref="AC26" si="168">IF(AND(ISBLANK(AC24),ISBLANK(AC25)),"A",IFERROR(+MOD(AC25-AC24,1),0))</f>
        <v>A</v>
      </c>
      <c r="AD26" s="78" t="str">
        <f t="shared" ref="AD26" si="169">IF(AND(ISBLANK(AD24),ISBLANK(AD25)),"A",IFERROR(+MOD(AD25-AD24,1),0))</f>
        <v>A</v>
      </c>
      <c r="AE26" s="78" t="str">
        <f t="shared" ref="AE26" si="170">IF(AND(ISBLANK(AE24),ISBLANK(AE25)),"A",IFERROR(+MOD(AE25-AE24,1),0))</f>
        <v>A</v>
      </c>
      <c r="AF26" s="78" t="str">
        <f t="shared" ref="AF26" si="171">IF(AND(ISBLANK(AF24),ISBLANK(AF25)),"A",IFERROR(+MOD(AF25-AF24,1),0))</f>
        <v>A</v>
      </c>
      <c r="AG26" s="78" t="str">
        <f t="shared" ref="AG26" si="172">IF(AND(ISBLANK(AG24),ISBLANK(AG25)),"A",IFERROR(+MOD(AG25-AG24,1),0))</f>
        <v>A</v>
      </c>
      <c r="AH26" s="78" t="str">
        <f t="shared" ref="AH26" si="173">IF(AND(ISBLANK(AH24),ISBLANK(AH25)),"A",IFERROR(+MOD(AH25-AH24,1),0))</f>
        <v>A</v>
      </c>
      <c r="AI26" s="78" t="str">
        <f t="shared" ref="AI26" si="174">IF(AND(ISBLANK(AI24),ISBLANK(AI25)),"A",IFERROR(+MOD(AI25-AI24,1),0))</f>
        <v>A</v>
      </c>
      <c r="AJ26" s="78" t="str">
        <f t="shared" ref="AJ26" si="175">IF(AND(ISBLANK(AJ24),ISBLANK(AJ25)),"A",IFERROR(+MOD(AJ25-AJ24,1),0))</f>
        <v>A</v>
      </c>
      <c r="AK26" s="78" t="str">
        <f t="shared" ref="AK26" si="176">IF(AND(ISBLANK(AK24),ISBLANK(AK25)),"A",IFERROR(+MOD(AK25-AK24,1),0))</f>
        <v>A</v>
      </c>
      <c r="AL26" s="78" t="str">
        <f t="shared" ref="AL26" si="177">IF(AND(ISBLANK(AL24),ISBLANK(AL25)),"A",IFERROR(+MOD(AL25-AL24,1),0))</f>
        <v>A</v>
      </c>
      <c r="AM26" s="78"/>
    </row>
    <row r="27" spans="1:39">
      <c r="A27" s="85" t="s">
        <v>92</v>
      </c>
      <c r="B27" s="84" t="s">
        <v>91</v>
      </c>
      <c r="C27" s="66" t="s">
        <v>93</v>
      </c>
      <c r="D27" s="85" t="s">
        <v>88</v>
      </c>
      <c r="E27" s="66" t="s">
        <v>24</v>
      </c>
      <c r="F27" s="73">
        <v>45888</v>
      </c>
      <c r="G27" s="66" t="s">
        <v>36</v>
      </c>
      <c r="H27" s="66" t="s">
        <v>13</v>
      </c>
      <c r="I27" s="52" t="s">
        <v>34</v>
      </c>
      <c r="J27" s="52" t="s">
        <v>34</v>
      </c>
      <c r="K27" s="52" t="s">
        <v>34</v>
      </c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</row>
    <row r="28" spans="1:39">
      <c r="A28" s="85" t="s">
        <v>92</v>
      </c>
      <c r="B28" s="84" t="s">
        <v>91</v>
      </c>
      <c r="C28" s="66" t="s">
        <v>93</v>
      </c>
      <c r="D28" s="85" t="s">
        <v>88</v>
      </c>
      <c r="E28" s="66" t="s">
        <v>24</v>
      </c>
      <c r="F28" s="73">
        <v>45888</v>
      </c>
      <c r="G28" s="66" t="s">
        <v>36</v>
      </c>
      <c r="H28" s="66" t="s">
        <v>32</v>
      </c>
      <c r="I28" s="52">
        <v>0.78472222222222221</v>
      </c>
      <c r="J28" s="52">
        <v>0.79166666666666663</v>
      </c>
      <c r="K28" s="52">
        <v>0.78125</v>
      </c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</row>
    <row r="29" spans="1:39">
      <c r="A29" s="85" t="s">
        <v>92</v>
      </c>
      <c r="B29" s="84" t="s">
        <v>91</v>
      </c>
      <c r="C29" s="66" t="s">
        <v>93</v>
      </c>
      <c r="D29" s="85" t="s">
        <v>88</v>
      </c>
      <c r="E29" s="66" t="s">
        <v>24</v>
      </c>
      <c r="F29" s="73">
        <v>45888</v>
      </c>
      <c r="G29" s="66" t="s">
        <v>36</v>
      </c>
      <c r="H29" s="66" t="s">
        <v>33</v>
      </c>
      <c r="I29" s="52">
        <v>0.32291666666666669</v>
      </c>
      <c r="J29" s="52">
        <v>0.26041666666666669</v>
      </c>
      <c r="K29" s="52">
        <v>0.20833333333333334</v>
      </c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</row>
    <row r="30" spans="1:39">
      <c r="A30" s="76" t="s">
        <v>92</v>
      </c>
      <c r="B30" s="76" t="s">
        <v>91</v>
      </c>
      <c r="C30" s="76" t="s">
        <v>93</v>
      </c>
      <c r="D30" s="76" t="s">
        <v>88</v>
      </c>
      <c r="E30" s="76" t="s">
        <v>24</v>
      </c>
      <c r="F30" s="77">
        <v>45888</v>
      </c>
      <c r="G30" s="76" t="s">
        <v>36</v>
      </c>
      <c r="H30" s="76" t="s">
        <v>72</v>
      </c>
      <c r="I30" s="78">
        <f t="shared" ref="I30" si="178">IF(AND(ISBLANK(I28),ISBLANK(I29)),"A",IFERROR(+MOD(I29-I28,1),0))</f>
        <v>0.53819444444444442</v>
      </c>
      <c r="J30" s="78">
        <f t="shared" ref="J30" si="179">IF(AND(ISBLANK(J28),ISBLANK(J29)),"A",IFERROR(+MOD(J29-J28,1),0))</f>
        <v>0.46875</v>
      </c>
      <c r="K30" s="78">
        <f t="shared" ref="K30" si="180">IF(AND(ISBLANK(K28),ISBLANK(K29)),"A",IFERROR(+MOD(K29-K28,1),0))</f>
        <v>0.42708333333333337</v>
      </c>
      <c r="L30" s="78" t="str">
        <f t="shared" ref="L30" si="181">IF(AND(ISBLANK(L28),ISBLANK(L29)),"A",IFERROR(+MOD(L29-L28,1),0))</f>
        <v>A</v>
      </c>
      <c r="M30" s="78" t="str">
        <f t="shared" ref="M30" si="182">IF(AND(ISBLANK(M28),ISBLANK(M29)),"A",IFERROR(+MOD(M29-M28,1),0))</f>
        <v>A</v>
      </c>
      <c r="N30" s="78" t="str">
        <f t="shared" ref="N30" si="183">IF(AND(ISBLANK(N28),ISBLANK(N29)),"A",IFERROR(+MOD(N29-N28,1),0))</f>
        <v>A</v>
      </c>
      <c r="O30" s="78" t="str">
        <f t="shared" ref="O30" si="184">IF(AND(ISBLANK(O28),ISBLANK(O29)),"A",IFERROR(+MOD(O29-O28,1),0))</f>
        <v>A</v>
      </c>
      <c r="P30" s="78" t="str">
        <f t="shared" ref="P30" si="185">IF(AND(ISBLANK(P28),ISBLANK(P29)),"A",IFERROR(+MOD(P29-P28,1),0))</f>
        <v>A</v>
      </c>
      <c r="Q30" s="78" t="str">
        <f t="shared" ref="Q30" si="186">IF(AND(ISBLANK(Q28),ISBLANK(Q29)),"A",IFERROR(+MOD(Q29-Q28,1),0))</f>
        <v>A</v>
      </c>
      <c r="R30" s="78" t="str">
        <f t="shared" ref="R30" si="187">IF(AND(ISBLANK(R28),ISBLANK(R29)),"A",IFERROR(+MOD(R29-R28,1),0))</f>
        <v>A</v>
      </c>
      <c r="S30" s="78" t="str">
        <f t="shared" ref="S30" si="188">IF(AND(ISBLANK(S28),ISBLANK(S29)),"A",IFERROR(+MOD(S29-S28,1),0))</f>
        <v>A</v>
      </c>
      <c r="T30" s="78" t="str">
        <f t="shared" ref="T30" si="189">IF(AND(ISBLANK(T28),ISBLANK(T29)),"A",IFERROR(+MOD(T29-T28,1),0))</f>
        <v>A</v>
      </c>
      <c r="U30" s="78" t="str">
        <f t="shared" ref="U30" si="190">IF(AND(ISBLANK(U28),ISBLANK(U29)),"A",IFERROR(+MOD(U29-U28,1),0))</f>
        <v>A</v>
      </c>
      <c r="V30" s="78" t="str">
        <f t="shared" ref="V30" si="191">IF(AND(ISBLANK(V28),ISBLANK(V29)),"A",IFERROR(+MOD(V29-V28,1),0))</f>
        <v>A</v>
      </c>
      <c r="W30" s="78" t="str">
        <f t="shared" ref="W30" si="192">IF(AND(ISBLANK(W28),ISBLANK(W29)),"A",IFERROR(+MOD(W29-W28,1),0))</f>
        <v>A</v>
      </c>
      <c r="X30" s="78" t="str">
        <f t="shared" ref="X30" si="193">IF(AND(ISBLANK(X28),ISBLANK(X29)),"A",IFERROR(+MOD(X29-X28,1),0))</f>
        <v>A</v>
      </c>
      <c r="Y30" s="78" t="str">
        <f t="shared" ref="Y30" si="194">IF(AND(ISBLANK(Y28),ISBLANK(Y29)),"A",IFERROR(+MOD(Y29-Y28,1),0))</f>
        <v>A</v>
      </c>
      <c r="Z30" s="78" t="str">
        <f t="shared" ref="Z30" si="195">IF(AND(ISBLANK(Z28),ISBLANK(Z29)),"A",IFERROR(+MOD(Z29-Z28,1),0))</f>
        <v>A</v>
      </c>
      <c r="AA30" s="78" t="str">
        <f t="shared" ref="AA30" si="196">IF(AND(ISBLANK(AA28),ISBLANK(AA29)),"A",IFERROR(+MOD(AA29-AA28,1),0))</f>
        <v>A</v>
      </c>
      <c r="AB30" s="78" t="str">
        <f t="shared" ref="AB30" si="197">IF(AND(ISBLANK(AB28),ISBLANK(AB29)),"A",IFERROR(+MOD(AB29-AB28,1),0))</f>
        <v>A</v>
      </c>
      <c r="AC30" s="78" t="str">
        <f t="shared" ref="AC30" si="198">IF(AND(ISBLANK(AC28),ISBLANK(AC29)),"A",IFERROR(+MOD(AC29-AC28,1),0))</f>
        <v>A</v>
      </c>
      <c r="AD30" s="78" t="str">
        <f t="shared" ref="AD30" si="199">IF(AND(ISBLANK(AD28),ISBLANK(AD29)),"A",IFERROR(+MOD(AD29-AD28,1),0))</f>
        <v>A</v>
      </c>
      <c r="AE30" s="78" t="str">
        <f t="shared" ref="AE30" si="200">IF(AND(ISBLANK(AE28),ISBLANK(AE29)),"A",IFERROR(+MOD(AE29-AE28,1),0))</f>
        <v>A</v>
      </c>
      <c r="AF30" s="78" t="str">
        <f t="shared" ref="AF30" si="201">IF(AND(ISBLANK(AF28),ISBLANK(AF29)),"A",IFERROR(+MOD(AF29-AF28,1),0))</f>
        <v>A</v>
      </c>
      <c r="AG30" s="78" t="str">
        <f t="shared" ref="AG30" si="202">IF(AND(ISBLANK(AG28),ISBLANK(AG29)),"A",IFERROR(+MOD(AG29-AG28,1),0))</f>
        <v>A</v>
      </c>
      <c r="AH30" s="78" t="str">
        <f t="shared" ref="AH30" si="203">IF(AND(ISBLANK(AH28),ISBLANK(AH29)),"A",IFERROR(+MOD(AH29-AH28,1),0))</f>
        <v>A</v>
      </c>
      <c r="AI30" s="78" t="str">
        <f t="shared" ref="AI30" si="204">IF(AND(ISBLANK(AI28),ISBLANK(AI29)),"A",IFERROR(+MOD(AI29-AI28,1),0))</f>
        <v>A</v>
      </c>
      <c r="AJ30" s="78" t="str">
        <f t="shared" ref="AJ30" si="205">IF(AND(ISBLANK(AJ28),ISBLANK(AJ29)),"A",IFERROR(+MOD(AJ29-AJ28,1),0))</f>
        <v>A</v>
      </c>
      <c r="AK30" s="78" t="str">
        <f t="shared" ref="AK30" si="206">IF(AND(ISBLANK(AK28),ISBLANK(AK29)),"A",IFERROR(+MOD(AK29-AK28,1),0))</f>
        <v>A</v>
      </c>
      <c r="AL30" s="78" t="str">
        <f t="shared" ref="AL30" si="207">IF(AND(ISBLANK(AL28),ISBLANK(AL29)),"A",IFERROR(+MOD(AL29-AL28,1),0))</f>
        <v>A</v>
      </c>
      <c r="AM30" s="78"/>
    </row>
    <row r="31" spans="1:39">
      <c r="A31" s="85" t="s">
        <v>94</v>
      </c>
      <c r="B31" s="84" t="s">
        <v>54</v>
      </c>
      <c r="C31" s="66"/>
      <c r="D31" s="66" t="s">
        <v>67</v>
      </c>
      <c r="E31" s="66" t="s">
        <v>24</v>
      </c>
      <c r="F31" s="73">
        <v>45886</v>
      </c>
      <c r="G31" s="66" t="s">
        <v>36</v>
      </c>
      <c r="H31" s="66" t="s">
        <v>13</v>
      </c>
      <c r="I31" s="52" t="s">
        <v>34</v>
      </c>
      <c r="J31" s="52" t="s">
        <v>34</v>
      </c>
      <c r="K31" s="52" t="s">
        <v>34</v>
      </c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</row>
    <row r="32" spans="1:39">
      <c r="A32" s="85" t="s">
        <v>94</v>
      </c>
      <c r="B32" s="84" t="s">
        <v>54</v>
      </c>
      <c r="C32" s="66"/>
      <c r="D32" s="66" t="s">
        <v>67</v>
      </c>
      <c r="E32" s="66" t="s">
        <v>24</v>
      </c>
      <c r="F32" s="73">
        <v>45886</v>
      </c>
      <c r="G32" s="66" t="s">
        <v>36</v>
      </c>
      <c r="H32" s="66" t="s">
        <v>32</v>
      </c>
      <c r="I32" s="52">
        <v>0.78472222222222221</v>
      </c>
      <c r="J32" s="52">
        <v>0.79166666666666663</v>
      </c>
      <c r="K32" s="52">
        <v>0.29166666666666669</v>
      </c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</row>
    <row r="33" spans="1:39">
      <c r="A33" s="85" t="s">
        <v>94</v>
      </c>
      <c r="B33" s="84" t="s">
        <v>54</v>
      </c>
      <c r="C33" s="66"/>
      <c r="D33" s="66" t="s">
        <v>67</v>
      </c>
      <c r="E33" s="66" t="s">
        <v>24</v>
      </c>
      <c r="F33" s="73">
        <v>45886</v>
      </c>
      <c r="G33" s="66" t="s">
        <v>36</v>
      </c>
      <c r="H33" s="66" t="s">
        <v>33</v>
      </c>
      <c r="I33" s="52">
        <v>0.3215277777777778</v>
      </c>
      <c r="J33" s="52">
        <v>0.25</v>
      </c>
      <c r="K33" s="52">
        <v>8.3333333333333329E-2</v>
      </c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</row>
    <row r="34" spans="1:39">
      <c r="A34" s="76" t="s">
        <v>94</v>
      </c>
      <c r="B34" s="76" t="s">
        <v>54</v>
      </c>
      <c r="C34" s="67"/>
      <c r="D34" s="76" t="s">
        <v>67</v>
      </c>
      <c r="E34" s="76" t="s">
        <v>24</v>
      </c>
      <c r="F34" s="77">
        <v>45886</v>
      </c>
      <c r="G34" s="76" t="s">
        <v>36</v>
      </c>
      <c r="H34" s="76" t="s">
        <v>72</v>
      </c>
      <c r="I34" s="78">
        <f t="shared" ref="I34" si="208">IF(AND(ISBLANK(I32),ISBLANK(I33)),"A",IFERROR(+MOD(I33-I32,1),0))</f>
        <v>0.53680555555555554</v>
      </c>
      <c r="J34" s="78">
        <f t="shared" ref="J34" si="209">IF(AND(ISBLANK(J32),ISBLANK(J33)),"A",IFERROR(+MOD(J33-J32,1),0))</f>
        <v>0.45833333333333337</v>
      </c>
      <c r="K34" s="78">
        <f t="shared" ref="K34" si="210">IF(AND(ISBLANK(K32),ISBLANK(K33)),"A",IFERROR(+MOD(K33-K32,1),0))</f>
        <v>0.79166666666666663</v>
      </c>
      <c r="L34" s="78" t="str">
        <f t="shared" ref="L34" si="211">IF(AND(ISBLANK(L32),ISBLANK(L33)),"A",IFERROR(+MOD(L33-L32,1),0))</f>
        <v>A</v>
      </c>
      <c r="M34" s="78" t="str">
        <f t="shared" ref="M34" si="212">IF(AND(ISBLANK(M32),ISBLANK(M33)),"A",IFERROR(+MOD(M33-M32,1),0))</f>
        <v>A</v>
      </c>
      <c r="N34" s="78" t="str">
        <f t="shared" ref="N34" si="213">IF(AND(ISBLANK(N32),ISBLANK(N33)),"A",IFERROR(+MOD(N33-N32,1),0))</f>
        <v>A</v>
      </c>
      <c r="O34" s="78" t="str">
        <f t="shared" ref="O34" si="214">IF(AND(ISBLANK(O32),ISBLANK(O33)),"A",IFERROR(+MOD(O33-O32,1),0))</f>
        <v>A</v>
      </c>
      <c r="P34" s="78" t="str">
        <f t="shared" ref="P34" si="215">IF(AND(ISBLANK(P32),ISBLANK(P33)),"A",IFERROR(+MOD(P33-P32,1),0))</f>
        <v>A</v>
      </c>
      <c r="Q34" s="78" t="str">
        <f t="shared" ref="Q34" si="216">IF(AND(ISBLANK(Q32),ISBLANK(Q33)),"A",IFERROR(+MOD(Q33-Q32,1),0))</f>
        <v>A</v>
      </c>
      <c r="R34" s="78" t="str">
        <f t="shared" ref="R34" si="217">IF(AND(ISBLANK(R32),ISBLANK(R33)),"A",IFERROR(+MOD(R33-R32,1),0))</f>
        <v>A</v>
      </c>
      <c r="S34" s="78" t="str">
        <f t="shared" ref="S34" si="218">IF(AND(ISBLANK(S32),ISBLANK(S33)),"A",IFERROR(+MOD(S33-S32,1),0))</f>
        <v>A</v>
      </c>
      <c r="T34" s="78" t="str">
        <f t="shared" ref="T34" si="219">IF(AND(ISBLANK(T32),ISBLANK(T33)),"A",IFERROR(+MOD(T33-T32,1),0))</f>
        <v>A</v>
      </c>
      <c r="U34" s="78" t="str">
        <f t="shared" ref="U34" si="220">IF(AND(ISBLANK(U32),ISBLANK(U33)),"A",IFERROR(+MOD(U33-U32,1),0))</f>
        <v>A</v>
      </c>
      <c r="V34" s="78" t="str">
        <f t="shared" ref="V34" si="221">IF(AND(ISBLANK(V32),ISBLANK(V33)),"A",IFERROR(+MOD(V33-V32,1),0))</f>
        <v>A</v>
      </c>
      <c r="W34" s="78" t="str">
        <f t="shared" ref="W34" si="222">IF(AND(ISBLANK(W32),ISBLANK(W33)),"A",IFERROR(+MOD(W33-W32,1),0))</f>
        <v>A</v>
      </c>
      <c r="X34" s="78" t="str">
        <f t="shared" ref="X34" si="223">IF(AND(ISBLANK(X32),ISBLANK(X33)),"A",IFERROR(+MOD(X33-X32,1),0))</f>
        <v>A</v>
      </c>
      <c r="Y34" s="78" t="str">
        <f t="shared" ref="Y34" si="224">IF(AND(ISBLANK(Y32),ISBLANK(Y33)),"A",IFERROR(+MOD(Y33-Y32,1),0))</f>
        <v>A</v>
      </c>
      <c r="Z34" s="78" t="str">
        <f t="shared" ref="Z34" si="225">IF(AND(ISBLANK(Z32),ISBLANK(Z33)),"A",IFERROR(+MOD(Z33-Z32,1),0))</f>
        <v>A</v>
      </c>
      <c r="AA34" s="78" t="str">
        <f t="shared" ref="AA34" si="226">IF(AND(ISBLANK(AA32),ISBLANK(AA33)),"A",IFERROR(+MOD(AA33-AA32,1),0))</f>
        <v>A</v>
      </c>
      <c r="AB34" s="78" t="str">
        <f t="shared" ref="AB34" si="227">IF(AND(ISBLANK(AB32),ISBLANK(AB33)),"A",IFERROR(+MOD(AB33-AB32,1),0))</f>
        <v>A</v>
      </c>
      <c r="AC34" s="78" t="str">
        <f t="shared" ref="AC34" si="228">IF(AND(ISBLANK(AC32),ISBLANK(AC33)),"A",IFERROR(+MOD(AC33-AC32,1),0))</f>
        <v>A</v>
      </c>
      <c r="AD34" s="78" t="str">
        <f t="shared" ref="AD34" si="229">IF(AND(ISBLANK(AD32),ISBLANK(AD33)),"A",IFERROR(+MOD(AD33-AD32,1),0))</f>
        <v>A</v>
      </c>
      <c r="AE34" s="78" t="str">
        <f t="shared" ref="AE34" si="230">IF(AND(ISBLANK(AE32),ISBLANK(AE33)),"A",IFERROR(+MOD(AE33-AE32,1),0))</f>
        <v>A</v>
      </c>
      <c r="AF34" s="78" t="str">
        <f t="shared" ref="AF34" si="231">IF(AND(ISBLANK(AF32),ISBLANK(AF33)),"A",IFERROR(+MOD(AF33-AF32,1),0))</f>
        <v>A</v>
      </c>
      <c r="AG34" s="78" t="str">
        <f t="shared" ref="AG34" si="232">IF(AND(ISBLANK(AG32),ISBLANK(AG33)),"A",IFERROR(+MOD(AG33-AG32,1),0))</f>
        <v>A</v>
      </c>
      <c r="AH34" s="78" t="str">
        <f t="shared" ref="AH34" si="233">IF(AND(ISBLANK(AH32),ISBLANK(AH33)),"A",IFERROR(+MOD(AH33-AH32,1),0))</f>
        <v>A</v>
      </c>
      <c r="AI34" s="78" t="str">
        <f t="shared" ref="AI34" si="234">IF(AND(ISBLANK(AI32),ISBLANK(AI33)),"A",IFERROR(+MOD(AI33-AI32,1),0))</f>
        <v>A</v>
      </c>
      <c r="AJ34" s="78" t="str">
        <f t="shared" ref="AJ34" si="235">IF(AND(ISBLANK(AJ32),ISBLANK(AJ33)),"A",IFERROR(+MOD(AJ33-AJ32,1),0))</f>
        <v>A</v>
      </c>
      <c r="AK34" s="78" t="str">
        <f t="shared" ref="AK34" si="236">IF(AND(ISBLANK(AK32),ISBLANK(AK33)),"A",IFERROR(+MOD(AK33-AK32,1),0))</f>
        <v>A</v>
      </c>
      <c r="AL34" s="78" t="str">
        <f t="shared" ref="AL34" si="237">IF(AND(ISBLANK(AL32),ISBLANK(AL33)),"A",IFERROR(+MOD(AL33-AL32,1),0))</f>
        <v>A</v>
      </c>
      <c r="AM34" s="78"/>
    </row>
    <row r="35" spans="1:39">
      <c r="A35" s="85" t="s">
        <v>95</v>
      </c>
      <c r="B35" s="84" t="s">
        <v>79</v>
      </c>
      <c r="C35" s="66"/>
      <c r="D35" s="85" t="s">
        <v>86</v>
      </c>
      <c r="E35" s="66" t="s">
        <v>24</v>
      </c>
      <c r="F35" s="73">
        <v>45885</v>
      </c>
      <c r="G35" s="66" t="s">
        <v>36</v>
      </c>
      <c r="H35" s="66" t="s">
        <v>13</v>
      </c>
      <c r="I35" s="52" t="s">
        <v>34</v>
      </c>
      <c r="J35" s="52" t="s">
        <v>34</v>
      </c>
      <c r="K35" s="52" t="s">
        <v>34</v>
      </c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</row>
    <row r="36" spans="1:39">
      <c r="A36" s="85" t="s">
        <v>95</v>
      </c>
      <c r="B36" s="84" t="s">
        <v>79</v>
      </c>
      <c r="C36" s="66"/>
      <c r="D36" s="85" t="s">
        <v>86</v>
      </c>
      <c r="E36" s="66" t="s">
        <v>24</v>
      </c>
      <c r="F36" s="73">
        <v>45885</v>
      </c>
      <c r="G36" s="66" t="s">
        <v>36</v>
      </c>
      <c r="H36" s="66" t="s">
        <v>32</v>
      </c>
      <c r="I36" s="52">
        <v>0.78472222222222221</v>
      </c>
      <c r="J36" s="52">
        <v>0.79166666666666663</v>
      </c>
      <c r="K36" s="52">
        <v>0.79166666666666663</v>
      </c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</row>
    <row r="37" spans="1:39">
      <c r="A37" s="85" t="s">
        <v>95</v>
      </c>
      <c r="B37" s="84" t="s">
        <v>79</v>
      </c>
      <c r="C37" s="66"/>
      <c r="D37" s="85" t="s">
        <v>86</v>
      </c>
      <c r="E37" s="66" t="s">
        <v>24</v>
      </c>
      <c r="F37" s="73">
        <v>45885</v>
      </c>
      <c r="G37" s="66" t="s">
        <v>36</v>
      </c>
      <c r="H37" s="66" t="s">
        <v>33</v>
      </c>
      <c r="I37" s="52">
        <v>0.32083333333333336</v>
      </c>
      <c r="J37" s="52">
        <v>0.16666666666666666</v>
      </c>
      <c r="K37" s="52">
        <v>0.1875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</row>
    <row r="38" spans="1:39">
      <c r="A38" s="76" t="s">
        <v>95</v>
      </c>
      <c r="B38" s="76" t="s">
        <v>79</v>
      </c>
      <c r="C38" s="67"/>
      <c r="D38" s="76" t="s">
        <v>86</v>
      </c>
      <c r="E38" s="76" t="s">
        <v>24</v>
      </c>
      <c r="F38" s="77">
        <v>45885</v>
      </c>
      <c r="G38" s="76" t="s">
        <v>36</v>
      </c>
      <c r="H38" s="76" t="s">
        <v>72</v>
      </c>
      <c r="I38" s="78">
        <f t="shared" ref="I38" si="238">IF(AND(ISBLANK(I36),ISBLANK(I37)),"A",IFERROR(+MOD(I37-I36,1),0))</f>
        <v>0.5361111111111112</v>
      </c>
      <c r="J38" s="78">
        <f t="shared" ref="J38" si="239">IF(AND(ISBLANK(J36),ISBLANK(J37)),"A",IFERROR(+MOD(J37-J36,1),0))</f>
        <v>0.375</v>
      </c>
      <c r="K38" s="78">
        <f t="shared" ref="K38" si="240">IF(AND(ISBLANK(K36),ISBLANK(K37)),"A",IFERROR(+MOD(K37-K36,1),0))</f>
        <v>0.39583333333333337</v>
      </c>
      <c r="L38" s="78" t="str">
        <f t="shared" ref="L38" si="241">IF(AND(ISBLANK(L36),ISBLANK(L37)),"A",IFERROR(+MOD(L37-L36,1),0))</f>
        <v>A</v>
      </c>
      <c r="M38" s="78" t="str">
        <f t="shared" ref="M38" si="242">IF(AND(ISBLANK(M36),ISBLANK(M37)),"A",IFERROR(+MOD(M37-M36,1),0))</f>
        <v>A</v>
      </c>
      <c r="N38" s="78" t="str">
        <f t="shared" ref="N38" si="243">IF(AND(ISBLANK(N36),ISBLANK(N37)),"A",IFERROR(+MOD(N37-N36,1),0))</f>
        <v>A</v>
      </c>
      <c r="O38" s="78" t="str">
        <f t="shared" ref="O38" si="244">IF(AND(ISBLANK(O36),ISBLANK(O37)),"A",IFERROR(+MOD(O37-O36,1),0))</f>
        <v>A</v>
      </c>
      <c r="P38" s="78" t="str">
        <f t="shared" ref="P38" si="245">IF(AND(ISBLANK(P36),ISBLANK(P37)),"A",IFERROR(+MOD(P37-P36,1),0))</f>
        <v>A</v>
      </c>
      <c r="Q38" s="78" t="str">
        <f t="shared" ref="Q38" si="246">IF(AND(ISBLANK(Q36),ISBLANK(Q37)),"A",IFERROR(+MOD(Q37-Q36,1),0))</f>
        <v>A</v>
      </c>
      <c r="R38" s="78" t="str">
        <f t="shared" ref="R38" si="247">IF(AND(ISBLANK(R36),ISBLANK(R37)),"A",IFERROR(+MOD(R37-R36,1),0))</f>
        <v>A</v>
      </c>
      <c r="S38" s="78" t="str">
        <f t="shared" ref="S38" si="248">IF(AND(ISBLANK(S36),ISBLANK(S37)),"A",IFERROR(+MOD(S37-S36,1),0))</f>
        <v>A</v>
      </c>
      <c r="T38" s="78" t="str">
        <f t="shared" ref="T38" si="249">IF(AND(ISBLANK(T36),ISBLANK(T37)),"A",IFERROR(+MOD(T37-T36,1),0))</f>
        <v>A</v>
      </c>
      <c r="U38" s="78" t="str">
        <f t="shared" ref="U38" si="250">IF(AND(ISBLANK(U36),ISBLANK(U37)),"A",IFERROR(+MOD(U37-U36,1),0))</f>
        <v>A</v>
      </c>
      <c r="V38" s="78" t="str">
        <f t="shared" ref="V38" si="251">IF(AND(ISBLANK(V36),ISBLANK(V37)),"A",IFERROR(+MOD(V37-V36,1),0))</f>
        <v>A</v>
      </c>
      <c r="W38" s="78" t="str">
        <f t="shared" ref="W38" si="252">IF(AND(ISBLANK(W36),ISBLANK(W37)),"A",IFERROR(+MOD(W37-W36,1),0))</f>
        <v>A</v>
      </c>
      <c r="X38" s="78" t="str">
        <f t="shared" ref="X38" si="253">IF(AND(ISBLANK(X36),ISBLANK(X37)),"A",IFERROR(+MOD(X37-X36,1),0))</f>
        <v>A</v>
      </c>
      <c r="Y38" s="78" t="str">
        <f t="shared" ref="Y38" si="254">IF(AND(ISBLANK(Y36),ISBLANK(Y37)),"A",IFERROR(+MOD(Y37-Y36,1),0))</f>
        <v>A</v>
      </c>
      <c r="Z38" s="78" t="str">
        <f t="shared" ref="Z38" si="255">IF(AND(ISBLANK(Z36),ISBLANK(Z37)),"A",IFERROR(+MOD(Z37-Z36,1),0))</f>
        <v>A</v>
      </c>
      <c r="AA38" s="78" t="str">
        <f t="shared" ref="AA38" si="256">IF(AND(ISBLANK(AA36),ISBLANK(AA37)),"A",IFERROR(+MOD(AA37-AA36,1),0))</f>
        <v>A</v>
      </c>
      <c r="AB38" s="78" t="str">
        <f t="shared" ref="AB38" si="257">IF(AND(ISBLANK(AB36),ISBLANK(AB37)),"A",IFERROR(+MOD(AB37-AB36,1),0))</f>
        <v>A</v>
      </c>
      <c r="AC38" s="78" t="str">
        <f t="shared" ref="AC38" si="258">IF(AND(ISBLANK(AC36),ISBLANK(AC37)),"A",IFERROR(+MOD(AC37-AC36,1),0))</f>
        <v>A</v>
      </c>
      <c r="AD38" s="78" t="str">
        <f t="shared" ref="AD38" si="259">IF(AND(ISBLANK(AD36),ISBLANK(AD37)),"A",IFERROR(+MOD(AD37-AD36,1),0))</f>
        <v>A</v>
      </c>
      <c r="AE38" s="78" t="str">
        <f t="shared" ref="AE38" si="260">IF(AND(ISBLANK(AE36),ISBLANK(AE37)),"A",IFERROR(+MOD(AE37-AE36,1),0))</f>
        <v>A</v>
      </c>
      <c r="AF38" s="78" t="str">
        <f t="shared" ref="AF38" si="261">IF(AND(ISBLANK(AF36),ISBLANK(AF37)),"A",IFERROR(+MOD(AF37-AF36,1),0))</f>
        <v>A</v>
      </c>
      <c r="AG38" s="78" t="str">
        <f t="shared" ref="AG38" si="262">IF(AND(ISBLANK(AG36),ISBLANK(AG37)),"A",IFERROR(+MOD(AG37-AG36,1),0))</f>
        <v>A</v>
      </c>
      <c r="AH38" s="78" t="str">
        <f t="shared" ref="AH38" si="263">IF(AND(ISBLANK(AH36),ISBLANK(AH37)),"A",IFERROR(+MOD(AH37-AH36,1),0))</f>
        <v>A</v>
      </c>
      <c r="AI38" s="78" t="str">
        <f t="shared" ref="AI38" si="264">IF(AND(ISBLANK(AI36),ISBLANK(AI37)),"A",IFERROR(+MOD(AI37-AI36,1),0))</f>
        <v>A</v>
      </c>
      <c r="AJ38" s="78" t="str">
        <f t="shared" ref="AJ38" si="265">IF(AND(ISBLANK(AJ36),ISBLANK(AJ37)),"A",IFERROR(+MOD(AJ37-AJ36,1),0))</f>
        <v>A</v>
      </c>
      <c r="AK38" s="78" t="str">
        <f t="shared" ref="AK38" si="266">IF(AND(ISBLANK(AK36),ISBLANK(AK37)),"A",IFERROR(+MOD(AK37-AK36,1),0))</f>
        <v>A</v>
      </c>
      <c r="AL38" s="78" t="str">
        <f t="shared" ref="AL38" si="267">IF(AND(ISBLANK(AL36),ISBLANK(AL37)),"A",IFERROR(+MOD(AL37-AL36,1),0))</f>
        <v>A</v>
      </c>
      <c r="AM38" s="78"/>
    </row>
    <row r="39" spans="1:39">
      <c r="A39" s="85" t="s">
        <v>96</v>
      </c>
      <c r="B39" s="84" t="s">
        <v>50</v>
      </c>
      <c r="C39" s="66"/>
      <c r="D39" s="85" t="s">
        <v>86</v>
      </c>
      <c r="E39" s="66" t="s">
        <v>24</v>
      </c>
      <c r="F39" s="73">
        <v>45885</v>
      </c>
      <c r="G39" s="66" t="s">
        <v>36</v>
      </c>
      <c r="H39" s="66" t="s">
        <v>13</v>
      </c>
      <c r="I39" s="52" t="s">
        <v>34</v>
      </c>
      <c r="J39" s="52" t="s">
        <v>34</v>
      </c>
      <c r="K39" s="52" t="s">
        <v>34</v>
      </c>
      <c r="L39" s="52" t="s">
        <v>34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</row>
    <row r="40" spans="1:39">
      <c r="A40" s="85" t="s">
        <v>96</v>
      </c>
      <c r="B40" s="84" t="s">
        <v>50</v>
      </c>
      <c r="C40" s="66"/>
      <c r="D40" s="85" t="s">
        <v>86</v>
      </c>
      <c r="E40" s="66" t="s">
        <v>24</v>
      </c>
      <c r="F40" s="73">
        <v>45885</v>
      </c>
      <c r="G40" s="66" t="s">
        <v>36</v>
      </c>
      <c r="H40" s="66" t="s">
        <v>32</v>
      </c>
      <c r="I40" s="52">
        <v>0.45833333333333331</v>
      </c>
      <c r="J40" s="52">
        <v>0.54166666666666663</v>
      </c>
      <c r="K40" s="52">
        <v>0.39444444444444443</v>
      </c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</row>
    <row r="41" spans="1:39">
      <c r="A41" s="85" t="s">
        <v>96</v>
      </c>
      <c r="B41" s="84" t="s">
        <v>50</v>
      </c>
      <c r="C41" s="66"/>
      <c r="D41" s="85" t="s">
        <v>86</v>
      </c>
      <c r="E41" s="66" t="s">
        <v>24</v>
      </c>
      <c r="F41" s="73">
        <v>45885</v>
      </c>
      <c r="G41" s="66" t="s">
        <v>36</v>
      </c>
      <c r="H41" s="66" t="s">
        <v>33</v>
      </c>
      <c r="I41" s="52">
        <v>8.3333333333333329E-2</v>
      </c>
      <c r="J41" s="52">
        <v>8.3333333333333329E-2</v>
      </c>
      <c r="K41" s="52">
        <v>0.1875</v>
      </c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</row>
    <row r="42" spans="1:39">
      <c r="A42" s="76" t="s">
        <v>96</v>
      </c>
      <c r="B42" s="76" t="s">
        <v>50</v>
      </c>
      <c r="C42" s="67"/>
      <c r="D42" s="76" t="s">
        <v>86</v>
      </c>
      <c r="E42" s="76" t="s">
        <v>24</v>
      </c>
      <c r="F42" s="77">
        <v>45885</v>
      </c>
      <c r="G42" s="76" t="s">
        <v>36</v>
      </c>
      <c r="H42" s="76" t="s">
        <v>72</v>
      </c>
      <c r="I42" s="78">
        <f t="shared" ref="I42" si="268">IF(AND(ISBLANK(I40),ISBLANK(I41)),"A",IFERROR(+MOD(I41-I40,1),0))</f>
        <v>0.625</v>
      </c>
      <c r="J42" s="78">
        <f t="shared" ref="J42" si="269">IF(AND(ISBLANK(J40),ISBLANK(J41)),"A",IFERROR(+MOD(J41-J40,1),0))</f>
        <v>0.54166666666666674</v>
      </c>
      <c r="K42" s="78">
        <f t="shared" ref="K42" si="270">IF(AND(ISBLANK(K40),ISBLANK(K41)),"A",IFERROR(+MOD(K41-K40,1),0))</f>
        <v>0.79305555555555562</v>
      </c>
      <c r="L42" s="78" t="str">
        <f t="shared" ref="L42" si="271">IF(AND(ISBLANK(L40),ISBLANK(L41)),"A",IFERROR(+MOD(L41-L40,1),0))</f>
        <v>A</v>
      </c>
      <c r="M42" s="78" t="str">
        <f t="shared" ref="M42" si="272">IF(AND(ISBLANK(M40),ISBLANK(M41)),"A",IFERROR(+MOD(M41-M40,1),0))</f>
        <v>A</v>
      </c>
      <c r="N42" s="78" t="str">
        <f t="shared" ref="N42" si="273">IF(AND(ISBLANK(N40),ISBLANK(N41)),"A",IFERROR(+MOD(N41-N40,1),0))</f>
        <v>A</v>
      </c>
      <c r="O42" s="78" t="str">
        <f t="shared" ref="O42" si="274">IF(AND(ISBLANK(O40),ISBLANK(O41)),"A",IFERROR(+MOD(O41-O40,1),0))</f>
        <v>A</v>
      </c>
      <c r="P42" s="78" t="str">
        <f t="shared" ref="P42" si="275">IF(AND(ISBLANK(P40),ISBLANK(P41)),"A",IFERROR(+MOD(P41-P40,1),0))</f>
        <v>A</v>
      </c>
      <c r="Q42" s="78" t="str">
        <f t="shared" ref="Q42" si="276">IF(AND(ISBLANK(Q40),ISBLANK(Q41)),"A",IFERROR(+MOD(Q41-Q40,1),0))</f>
        <v>A</v>
      </c>
      <c r="R42" s="78" t="str">
        <f t="shared" ref="R42" si="277">IF(AND(ISBLANK(R40),ISBLANK(R41)),"A",IFERROR(+MOD(R41-R40,1),0))</f>
        <v>A</v>
      </c>
      <c r="S42" s="78" t="str">
        <f t="shared" ref="S42" si="278">IF(AND(ISBLANK(S40),ISBLANK(S41)),"A",IFERROR(+MOD(S41-S40,1),0))</f>
        <v>A</v>
      </c>
      <c r="T42" s="78" t="str">
        <f t="shared" ref="T42" si="279">IF(AND(ISBLANK(T40),ISBLANK(T41)),"A",IFERROR(+MOD(T41-T40,1),0))</f>
        <v>A</v>
      </c>
      <c r="U42" s="78" t="str">
        <f t="shared" ref="U42" si="280">IF(AND(ISBLANK(U40),ISBLANK(U41)),"A",IFERROR(+MOD(U41-U40,1),0))</f>
        <v>A</v>
      </c>
      <c r="V42" s="78" t="str">
        <f t="shared" ref="V42" si="281">IF(AND(ISBLANK(V40),ISBLANK(V41)),"A",IFERROR(+MOD(V41-V40,1),0))</f>
        <v>A</v>
      </c>
      <c r="W42" s="78" t="str">
        <f t="shared" ref="W42" si="282">IF(AND(ISBLANK(W40),ISBLANK(W41)),"A",IFERROR(+MOD(W41-W40,1),0))</f>
        <v>A</v>
      </c>
      <c r="X42" s="78" t="str">
        <f t="shared" ref="X42" si="283">IF(AND(ISBLANK(X40),ISBLANK(X41)),"A",IFERROR(+MOD(X41-X40,1),0))</f>
        <v>A</v>
      </c>
      <c r="Y42" s="78" t="str">
        <f t="shared" ref="Y42" si="284">IF(AND(ISBLANK(Y40),ISBLANK(Y41)),"A",IFERROR(+MOD(Y41-Y40,1),0))</f>
        <v>A</v>
      </c>
      <c r="Z42" s="78" t="str">
        <f t="shared" ref="Z42" si="285">IF(AND(ISBLANK(Z40),ISBLANK(Z41)),"A",IFERROR(+MOD(Z41-Z40,1),0))</f>
        <v>A</v>
      </c>
      <c r="AA42" s="78" t="str">
        <f t="shared" ref="AA42" si="286">IF(AND(ISBLANK(AA40),ISBLANK(AA41)),"A",IFERROR(+MOD(AA41-AA40,1),0))</f>
        <v>A</v>
      </c>
      <c r="AB42" s="78" t="str">
        <f t="shared" ref="AB42" si="287">IF(AND(ISBLANK(AB40),ISBLANK(AB41)),"A",IFERROR(+MOD(AB41-AB40,1),0))</f>
        <v>A</v>
      </c>
      <c r="AC42" s="78" t="str">
        <f t="shared" ref="AC42" si="288">IF(AND(ISBLANK(AC40),ISBLANK(AC41)),"A",IFERROR(+MOD(AC41-AC40,1),0))</f>
        <v>A</v>
      </c>
      <c r="AD42" s="78" t="str">
        <f t="shared" ref="AD42" si="289">IF(AND(ISBLANK(AD40),ISBLANK(AD41)),"A",IFERROR(+MOD(AD41-AD40,1),0))</f>
        <v>A</v>
      </c>
      <c r="AE42" s="78" t="str">
        <f t="shared" ref="AE42" si="290">IF(AND(ISBLANK(AE40),ISBLANK(AE41)),"A",IFERROR(+MOD(AE41-AE40,1),0))</f>
        <v>A</v>
      </c>
      <c r="AF42" s="78" t="str">
        <f t="shared" ref="AF42" si="291">IF(AND(ISBLANK(AF40),ISBLANK(AF41)),"A",IFERROR(+MOD(AF41-AF40,1),0))</f>
        <v>A</v>
      </c>
      <c r="AG42" s="78" t="str">
        <f t="shared" ref="AG42" si="292">IF(AND(ISBLANK(AG40),ISBLANK(AG41)),"A",IFERROR(+MOD(AG41-AG40,1),0))</f>
        <v>A</v>
      </c>
      <c r="AH42" s="78" t="str">
        <f t="shared" ref="AH42" si="293">IF(AND(ISBLANK(AH40),ISBLANK(AH41)),"A",IFERROR(+MOD(AH41-AH40,1),0))</f>
        <v>A</v>
      </c>
      <c r="AI42" s="78" t="str">
        <f t="shared" ref="AI42" si="294">IF(AND(ISBLANK(AI40),ISBLANK(AI41)),"A",IFERROR(+MOD(AI41-AI40,1),0))</f>
        <v>A</v>
      </c>
      <c r="AJ42" s="78" t="str">
        <f t="shared" ref="AJ42" si="295">IF(AND(ISBLANK(AJ40),ISBLANK(AJ41)),"A",IFERROR(+MOD(AJ41-AJ40,1),0))</f>
        <v>A</v>
      </c>
      <c r="AK42" s="78" t="str">
        <f t="shared" ref="AK42" si="296">IF(AND(ISBLANK(AK40),ISBLANK(AK41)),"A",IFERROR(+MOD(AK41-AK40,1),0))</f>
        <v>A</v>
      </c>
      <c r="AL42" s="78" t="str">
        <f t="shared" ref="AL42" si="297">IF(AND(ISBLANK(AL40),ISBLANK(AL41)),"A",IFERROR(+MOD(AL41-AL40,1),0))</f>
        <v>A</v>
      </c>
      <c r="AM42" s="78"/>
    </row>
    <row r="43" spans="1:39">
      <c r="A43" s="85" t="s">
        <v>97</v>
      </c>
      <c r="B43" s="84" t="s">
        <v>56</v>
      </c>
      <c r="C43" s="66"/>
      <c r="D43" s="85" t="s">
        <v>88</v>
      </c>
      <c r="E43" s="66" t="s">
        <v>24</v>
      </c>
      <c r="F43" s="73">
        <v>45885</v>
      </c>
      <c r="G43" s="66" t="s">
        <v>36</v>
      </c>
      <c r="H43" s="66" t="s">
        <v>13</v>
      </c>
      <c r="I43" s="52" t="s">
        <v>71</v>
      </c>
      <c r="J43" s="52" t="s">
        <v>34</v>
      </c>
      <c r="K43" s="52" t="s">
        <v>34</v>
      </c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</row>
    <row r="44" spans="1:39">
      <c r="A44" s="85" t="s">
        <v>97</v>
      </c>
      <c r="B44" s="84" t="s">
        <v>56</v>
      </c>
      <c r="C44" s="66"/>
      <c r="D44" s="85" t="s">
        <v>88</v>
      </c>
      <c r="E44" s="66" t="s">
        <v>24</v>
      </c>
      <c r="F44" s="73">
        <v>45885</v>
      </c>
      <c r="G44" s="66" t="s">
        <v>36</v>
      </c>
      <c r="H44" s="66" t="s">
        <v>32</v>
      </c>
      <c r="I44" s="52" t="s">
        <v>71</v>
      </c>
      <c r="J44" s="52">
        <v>0.47222222222222227</v>
      </c>
      <c r="K44" s="52">
        <v>0.39999999999999997</v>
      </c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</row>
    <row r="45" spans="1:39">
      <c r="A45" s="85" t="s">
        <v>97</v>
      </c>
      <c r="B45" s="84" t="s">
        <v>56</v>
      </c>
      <c r="C45" s="66"/>
      <c r="D45" s="85" t="s">
        <v>88</v>
      </c>
      <c r="E45" s="66" t="s">
        <v>24</v>
      </c>
      <c r="F45" s="73">
        <v>45885</v>
      </c>
      <c r="G45" s="66" t="s">
        <v>36</v>
      </c>
      <c r="H45" s="66" t="s">
        <v>33</v>
      </c>
      <c r="I45" s="52" t="s">
        <v>71</v>
      </c>
      <c r="J45" s="52">
        <v>0.88194444444444453</v>
      </c>
      <c r="K45" s="52">
        <v>0.96527777777777779</v>
      </c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</row>
    <row r="46" spans="1:39">
      <c r="A46" s="76" t="s">
        <v>97</v>
      </c>
      <c r="B46" s="76" t="s">
        <v>56</v>
      </c>
      <c r="C46" s="67"/>
      <c r="D46" s="76" t="s">
        <v>88</v>
      </c>
      <c r="E46" s="76" t="s">
        <v>24</v>
      </c>
      <c r="F46" s="77">
        <v>45885</v>
      </c>
      <c r="G46" s="76" t="s">
        <v>36</v>
      </c>
      <c r="H46" s="76" t="s">
        <v>72</v>
      </c>
      <c r="I46" s="78" t="s">
        <v>71</v>
      </c>
      <c r="J46" s="78">
        <f t="shared" ref="J46:K46" si="298">IF(AND(ISBLANK(J44),ISBLANK(J45)),"A",IFERROR(+MOD(J45-J44,1),0))</f>
        <v>0.40972222222222227</v>
      </c>
      <c r="K46" s="78">
        <f t="shared" si="298"/>
        <v>0.56527777777777777</v>
      </c>
      <c r="L46" s="78" t="str">
        <f t="shared" ref="L46" si="299">IF(AND(ISBLANK(L44),ISBLANK(L45)),"A",IFERROR(+MOD(L45-L44,1),0))</f>
        <v>A</v>
      </c>
      <c r="M46" s="78" t="str">
        <f t="shared" ref="M46" si="300">IF(AND(ISBLANK(M44),ISBLANK(M45)),"A",IFERROR(+MOD(M45-M44,1),0))</f>
        <v>A</v>
      </c>
      <c r="N46" s="78" t="str">
        <f t="shared" ref="N46" si="301">IF(AND(ISBLANK(N44),ISBLANK(N45)),"A",IFERROR(+MOD(N45-N44,1),0))</f>
        <v>A</v>
      </c>
      <c r="O46" s="78" t="str">
        <f t="shared" ref="O46" si="302">IF(AND(ISBLANK(O44),ISBLANK(O45)),"A",IFERROR(+MOD(O45-O44,1),0))</f>
        <v>A</v>
      </c>
      <c r="P46" s="78" t="str">
        <f t="shared" ref="P46" si="303">IF(AND(ISBLANK(P44),ISBLANK(P45)),"A",IFERROR(+MOD(P45-P44,1),0))</f>
        <v>A</v>
      </c>
      <c r="Q46" s="78" t="str">
        <f t="shared" ref="Q46" si="304">IF(AND(ISBLANK(Q44),ISBLANK(Q45)),"A",IFERROR(+MOD(Q45-Q44,1),0))</f>
        <v>A</v>
      </c>
      <c r="R46" s="78" t="str">
        <f t="shared" ref="R46" si="305">IF(AND(ISBLANK(R44),ISBLANK(R45)),"A",IFERROR(+MOD(R45-R44,1),0))</f>
        <v>A</v>
      </c>
      <c r="S46" s="78" t="str">
        <f t="shared" ref="S46" si="306">IF(AND(ISBLANK(S44),ISBLANK(S45)),"A",IFERROR(+MOD(S45-S44,1),0))</f>
        <v>A</v>
      </c>
      <c r="T46" s="78" t="str">
        <f t="shared" ref="T46" si="307">IF(AND(ISBLANK(T44),ISBLANK(T45)),"A",IFERROR(+MOD(T45-T44,1),0))</f>
        <v>A</v>
      </c>
      <c r="U46" s="78" t="str">
        <f t="shared" ref="U46" si="308">IF(AND(ISBLANK(U44),ISBLANK(U45)),"A",IFERROR(+MOD(U45-U44,1),0))</f>
        <v>A</v>
      </c>
      <c r="V46" s="78" t="str">
        <f t="shared" ref="V46" si="309">IF(AND(ISBLANK(V44),ISBLANK(V45)),"A",IFERROR(+MOD(V45-V44,1),0))</f>
        <v>A</v>
      </c>
      <c r="W46" s="78" t="str">
        <f t="shared" ref="W46" si="310">IF(AND(ISBLANK(W44),ISBLANK(W45)),"A",IFERROR(+MOD(W45-W44,1),0))</f>
        <v>A</v>
      </c>
      <c r="X46" s="78" t="str">
        <f t="shared" ref="X46" si="311">IF(AND(ISBLANK(X44),ISBLANK(X45)),"A",IFERROR(+MOD(X45-X44,1),0))</f>
        <v>A</v>
      </c>
      <c r="Y46" s="78" t="str">
        <f t="shared" ref="Y46" si="312">IF(AND(ISBLANK(Y44),ISBLANK(Y45)),"A",IFERROR(+MOD(Y45-Y44,1),0))</f>
        <v>A</v>
      </c>
      <c r="Z46" s="78" t="str">
        <f t="shared" ref="Z46" si="313">IF(AND(ISBLANK(Z44),ISBLANK(Z45)),"A",IFERROR(+MOD(Z45-Z44,1),0))</f>
        <v>A</v>
      </c>
      <c r="AA46" s="78" t="str">
        <f t="shared" ref="AA46" si="314">IF(AND(ISBLANK(AA44),ISBLANK(AA45)),"A",IFERROR(+MOD(AA45-AA44,1),0))</f>
        <v>A</v>
      </c>
      <c r="AB46" s="78" t="str">
        <f t="shared" ref="AB46" si="315">IF(AND(ISBLANK(AB44),ISBLANK(AB45)),"A",IFERROR(+MOD(AB45-AB44,1),0))</f>
        <v>A</v>
      </c>
      <c r="AC46" s="78" t="str">
        <f t="shared" ref="AC46" si="316">IF(AND(ISBLANK(AC44),ISBLANK(AC45)),"A",IFERROR(+MOD(AC45-AC44,1),0))</f>
        <v>A</v>
      </c>
      <c r="AD46" s="78" t="str">
        <f t="shared" ref="AD46" si="317">IF(AND(ISBLANK(AD44),ISBLANK(AD45)),"A",IFERROR(+MOD(AD45-AD44,1),0))</f>
        <v>A</v>
      </c>
      <c r="AE46" s="78" t="str">
        <f t="shared" ref="AE46" si="318">IF(AND(ISBLANK(AE44),ISBLANK(AE45)),"A",IFERROR(+MOD(AE45-AE44,1),0))</f>
        <v>A</v>
      </c>
      <c r="AF46" s="78" t="str">
        <f t="shared" ref="AF46" si="319">IF(AND(ISBLANK(AF44),ISBLANK(AF45)),"A",IFERROR(+MOD(AF45-AF44,1),0))</f>
        <v>A</v>
      </c>
      <c r="AG46" s="78" t="str">
        <f t="shared" ref="AG46" si="320">IF(AND(ISBLANK(AG44),ISBLANK(AG45)),"A",IFERROR(+MOD(AG45-AG44,1),0))</f>
        <v>A</v>
      </c>
      <c r="AH46" s="78" t="str">
        <f t="shared" ref="AH46" si="321">IF(AND(ISBLANK(AH44),ISBLANK(AH45)),"A",IFERROR(+MOD(AH45-AH44,1),0))</f>
        <v>A</v>
      </c>
      <c r="AI46" s="78" t="str">
        <f t="shared" ref="AI46" si="322">IF(AND(ISBLANK(AI44),ISBLANK(AI45)),"A",IFERROR(+MOD(AI45-AI44,1),0))</f>
        <v>A</v>
      </c>
      <c r="AJ46" s="78" t="str">
        <f t="shared" ref="AJ46" si="323">IF(AND(ISBLANK(AJ44),ISBLANK(AJ45)),"A",IFERROR(+MOD(AJ45-AJ44,1),0))</f>
        <v>A</v>
      </c>
      <c r="AK46" s="78" t="str">
        <f t="shared" ref="AK46" si="324">IF(AND(ISBLANK(AK44),ISBLANK(AK45)),"A",IFERROR(+MOD(AK45-AK44,1),0))</f>
        <v>A</v>
      </c>
      <c r="AL46" s="78" t="str">
        <f t="shared" ref="AL46" si="325">IF(AND(ISBLANK(AL44),ISBLANK(AL45)),"A",IFERROR(+MOD(AL45-AL44,1),0))</f>
        <v>A</v>
      </c>
      <c r="AM46" s="78"/>
    </row>
    <row r="47" spans="1:39">
      <c r="A47" s="85" t="s">
        <v>98</v>
      </c>
      <c r="B47" s="66" t="s">
        <v>56</v>
      </c>
      <c r="C47" s="66"/>
      <c r="D47" s="85" t="s">
        <v>88</v>
      </c>
      <c r="E47" s="66" t="s">
        <v>24</v>
      </c>
      <c r="F47" s="73">
        <v>45885</v>
      </c>
      <c r="G47" s="66" t="s">
        <v>36</v>
      </c>
      <c r="H47" s="66" t="s">
        <v>13</v>
      </c>
      <c r="I47" s="52" t="s">
        <v>34</v>
      </c>
      <c r="J47" s="52" t="s">
        <v>34</v>
      </c>
      <c r="K47" s="52" t="s">
        <v>34</v>
      </c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</row>
    <row r="48" spans="1:39">
      <c r="A48" s="85" t="s">
        <v>98</v>
      </c>
      <c r="B48" s="66" t="s">
        <v>56</v>
      </c>
      <c r="C48" s="66"/>
      <c r="D48" s="85" t="s">
        <v>88</v>
      </c>
      <c r="E48" s="66" t="s">
        <v>24</v>
      </c>
      <c r="F48" s="73">
        <v>45885</v>
      </c>
      <c r="G48" s="66" t="s">
        <v>36</v>
      </c>
      <c r="H48" s="66" t="s">
        <v>32</v>
      </c>
      <c r="I48" s="52">
        <v>0.54166666666666663</v>
      </c>
      <c r="J48" s="52">
        <v>0.49305555555555558</v>
      </c>
      <c r="K48" s="52">
        <v>0.3923611111111111</v>
      </c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</row>
    <row r="49" spans="1:39">
      <c r="A49" s="85" t="s">
        <v>98</v>
      </c>
      <c r="B49" s="66" t="s">
        <v>56</v>
      </c>
      <c r="C49" s="66"/>
      <c r="D49" s="85" t="s">
        <v>88</v>
      </c>
      <c r="E49" s="66" t="s">
        <v>24</v>
      </c>
      <c r="F49" s="73">
        <v>45885</v>
      </c>
      <c r="G49" s="66" t="s">
        <v>36</v>
      </c>
      <c r="H49" s="66" t="s">
        <v>33</v>
      </c>
      <c r="I49" s="52">
        <v>0.39583333333333331</v>
      </c>
      <c r="J49" s="52">
        <v>0.47500000000000003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</row>
    <row r="50" spans="1:39">
      <c r="A50" s="76" t="s">
        <v>98</v>
      </c>
      <c r="B50" s="76" t="s">
        <v>56</v>
      </c>
      <c r="C50" s="67"/>
      <c r="D50" s="76" t="s">
        <v>88</v>
      </c>
      <c r="E50" s="76" t="s">
        <v>24</v>
      </c>
      <c r="F50" s="77">
        <v>45885</v>
      </c>
      <c r="G50" s="76" t="s">
        <v>36</v>
      </c>
      <c r="H50" s="76" t="s">
        <v>72</v>
      </c>
      <c r="I50" s="78">
        <f t="shared" ref="I50" si="326">IF(AND(ISBLANK(I48),ISBLANK(I49)),"A",IFERROR(+MOD(I49-I48,1),0))</f>
        <v>0.85416666666666674</v>
      </c>
      <c r="J50" s="78">
        <f t="shared" ref="J50" si="327">IF(AND(ISBLANK(J48),ISBLANK(J49)),"A",IFERROR(+MOD(J49-J48,1),0))</f>
        <v>0.98194444444444451</v>
      </c>
      <c r="K50" s="78">
        <f t="shared" ref="K50" si="328">IF(AND(ISBLANK(K48),ISBLANK(K49)),"A",IFERROR(+MOD(K49-K48,1),0))</f>
        <v>0.60763888888888884</v>
      </c>
      <c r="L50" s="78" t="str">
        <f t="shared" ref="L50" si="329">IF(AND(ISBLANK(L48),ISBLANK(L49)),"A",IFERROR(+MOD(L49-L48,1),0))</f>
        <v>A</v>
      </c>
      <c r="M50" s="78" t="str">
        <f t="shared" ref="M50" si="330">IF(AND(ISBLANK(M48),ISBLANK(M49)),"A",IFERROR(+MOD(M49-M48,1),0))</f>
        <v>A</v>
      </c>
      <c r="N50" s="78" t="str">
        <f t="shared" ref="N50" si="331">IF(AND(ISBLANK(N48),ISBLANK(N49)),"A",IFERROR(+MOD(N49-N48,1),0))</f>
        <v>A</v>
      </c>
      <c r="O50" s="78" t="str">
        <f t="shared" ref="O50" si="332">IF(AND(ISBLANK(O48),ISBLANK(O49)),"A",IFERROR(+MOD(O49-O48,1),0))</f>
        <v>A</v>
      </c>
      <c r="P50" s="78" t="str">
        <f t="shared" ref="P50" si="333">IF(AND(ISBLANK(P48),ISBLANK(P49)),"A",IFERROR(+MOD(P49-P48,1),0))</f>
        <v>A</v>
      </c>
      <c r="Q50" s="78" t="str">
        <f t="shared" ref="Q50" si="334">IF(AND(ISBLANK(Q48),ISBLANK(Q49)),"A",IFERROR(+MOD(Q49-Q48,1),0))</f>
        <v>A</v>
      </c>
      <c r="R50" s="78" t="str">
        <f t="shared" ref="R50" si="335">IF(AND(ISBLANK(R48),ISBLANK(R49)),"A",IFERROR(+MOD(R49-R48,1),0))</f>
        <v>A</v>
      </c>
      <c r="S50" s="78" t="str">
        <f t="shared" ref="S50" si="336">IF(AND(ISBLANK(S48),ISBLANK(S49)),"A",IFERROR(+MOD(S49-S48,1),0))</f>
        <v>A</v>
      </c>
      <c r="T50" s="78" t="str">
        <f t="shared" ref="T50" si="337">IF(AND(ISBLANK(T48),ISBLANK(T49)),"A",IFERROR(+MOD(T49-T48,1),0))</f>
        <v>A</v>
      </c>
      <c r="U50" s="78" t="str">
        <f t="shared" ref="U50" si="338">IF(AND(ISBLANK(U48),ISBLANK(U49)),"A",IFERROR(+MOD(U49-U48,1),0))</f>
        <v>A</v>
      </c>
      <c r="V50" s="78" t="str">
        <f t="shared" ref="V50" si="339">IF(AND(ISBLANK(V48),ISBLANK(V49)),"A",IFERROR(+MOD(V49-V48,1),0))</f>
        <v>A</v>
      </c>
      <c r="W50" s="78" t="str">
        <f t="shared" ref="W50" si="340">IF(AND(ISBLANK(W48),ISBLANK(W49)),"A",IFERROR(+MOD(W49-W48,1),0))</f>
        <v>A</v>
      </c>
      <c r="X50" s="78" t="str">
        <f t="shared" ref="X50" si="341">IF(AND(ISBLANK(X48),ISBLANK(X49)),"A",IFERROR(+MOD(X49-X48,1),0))</f>
        <v>A</v>
      </c>
      <c r="Y50" s="78" t="str">
        <f t="shared" ref="Y50" si="342">IF(AND(ISBLANK(Y48),ISBLANK(Y49)),"A",IFERROR(+MOD(Y49-Y48,1),0))</f>
        <v>A</v>
      </c>
      <c r="Z50" s="78" t="str">
        <f t="shared" ref="Z50" si="343">IF(AND(ISBLANK(Z48),ISBLANK(Z49)),"A",IFERROR(+MOD(Z49-Z48,1),0))</f>
        <v>A</v>
      </c>
      <c r="AA50" s="78" t="str">
        <f t="shared" ref="AA50" si="344">IF(AND(ISBLANK(AA48),ISBLANK(AA49)),"A",IFERROR(+MOD(AA49-AA48,1),0))</f>
        <v>A</v>
      </c>
      <c r="AB50" s="78" t="str">
        <f t="shared" ref="AB50" si="345">IF(AND(ISBLANK(AB48),ISBLANK(AB49)),"A",IFERROR(+MOD(AB49-AB48,1),0))</f>
        <v>A</v>
      </c>
      <c r="AC50" s="78" t="str">
        <f t="shared" ref="AC50" si="346">IF(AND(ISBLANK(AC48),ISBLANK(AC49)),"A",IFERROR(+MOD(AC49-AC48,1),0))</f>
        <v>A</v>
      </c>
      <c r="AD50" s="78" t="str">
        <f t="shared" ref="AD50" si="347">IF(AND(ISBLANK(AD48),ISBLANK(AD49)),"A",IFERROR(+MOD(AD49-AD48,1),0))</f>
        <v>A</v>
      </c>
      <c r="AE50" s="78" t="str">
        <f t="shared" ref="AE50" si="348">IF(AND(ISBLANK(AE48),ISBLANK(AE49)),"A",IFERROR(+MOD(AE49-AE48,1),0))</f>
        <v>A</v>
      </c>
      <c r="AF50" s="78" t="str">
        <f t="shared" ref="AF50" si="349">IF(AND(ISBLANK(AF48),ISBLANK(AF49)),"A",IFERROR(+MOD(AF49-AF48,1),0))</f>
        <v>A</v>
      </c>
      <c r="AG50" s="78" t="str">
        <f t="shared" ref="AG50" si="350">IF(AND(ISBLANK(AG48),ISBLANK(AG49)),"A",IFERROR(+MOD(AG49-AG48,1),0))</f>
        <v>A</v>
      </c>
      <c r="AH50" s="78" t="str">
        <f t="shared" ref="AH50" si="351">IF(AND(ISBLANK(AH48),ISBLANK(AH49)),"A",IFERROR(+MOD(AH49-AH48,1),0))</f>
        <v>A</v>
      </c>
      <c r="AI50" s="78" t="str">
        <f t="shared" ref="AI50" si="352">IF(AND(ISBLANK(AI48),ISBLANK(AI49)),"A",IFERROR(+MOD(AI49-AI48,1),0))</f>
        <v>A</v>
      </c>
      <c r="AJ50" s="78" t="str">
        <f t="shared" ref="AJ50" si="353">IF(AND(ISBLANK(AJ48),ISBLANK(AJ49)),"A",IFERROR(+MOD(AJ49-AJ48,1),0))</f>
        <v>A</v>
      </c>
      <c r="AK50" s="78" t="str">
        <f t="shared" ref="AK50" si="354">IF(AND(ISBLANK(AK48),ISBLANK(AK49)),"A",IFERROR(+MOD(AK49-AK48,1),0))</f>
        <v>A</v>
      </c>
      <c r="AL50" s="78" t="str">
        <f t="shared" ref="AL50" si="355">IF(AND(ISBLANK(AL48),ISBLANK(AL49)),"A",IFERROR(+MOD(AL49-AL48,1),0))</f>
        <v>A</v>
      </c>
      <c r="AM50" s="78"/>
    </row>
    <row r="51" spans="1:39">
      <c r="A51" s="85" t="s">
        <v>99</v>
      </c>
      <c r="B51" s="66" t="s">
        <v>82</v>
      </c>
      <c r="C51" s="66"/>
      <c r="D51" s="66" t="s">
        <v>67</v>
      </c>
      <c r="E51" s="66" t="s">
        <v>24</v>
      </c>
      <c r="F51" s="73">
        <v>45872</v>
      </c>
      <c r="G51" s="66" t="s">
        <v>36</v>
      </c>
      <c r="H51" s="66" t="s">
        <v>13</v>
      </c>
      <c r="I51" s="52" t="s">
        <v>34</v>
      </c>
      <c r="J51" s="52" t="s">
        <v>34</v>
      </c>
      <c r="K51" s="52" t="s">
        <v>34</v>
      </c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</row>
    <row r="52" spans="1:39">
      <c r="A52" s="85" t="s">
        <v>99</v>
      </c>
      <c r="B52" s="66" t="s">
        <v>82</v>
      </c>
      <c r="C52" s="66"/>
      <c r="D52" s="66" t="s">
        <v>67</v>
      </c>
      <c r="E52" s="66" t="s">
        <v>24</v>
      </c>
      <c r="F52" s="73">
        <v>45872</v>
      </c>
      <c r="G52" s="66" t="s">
        <v>36</v>
      </c>
      <c r="H52" s="66" t="s">
        <v>32</v>
      </c>
      <c r="I52" s="52">
        <v>0.375</v>
      </c>
      <c r="J52" s="52">
        <v>0.59722222222222221</v>
      </c>
      <c r="K52" s="52">
        <v>0.39583333333333331</v>
      </c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</row>
    <row r="53" spans="1:39">
      <c r="A53" s="85" t="s">
        <v>99</v>
      </c>
      <c r="B53" s="66" t="s">
        <v>82</v>
      </c>
      <c r="C53" s="66"/>
      <c r="D53" s="66" t="s">
        <v>67</v>
      </c>
      <c r="E53" s="66" t="s">
        <v>24</v>
      </c>
      <c r="F53" s="73">
        <v>45872</v>
      </c>
      <c r="G53" s="66" t="s">
        <v>36</v>
      </c>
      <c r="H53" s="66" t="s">
        <v>33</v>
      </c>
      <c r="I53" s="52">
        <v>0.125</v>
      </c>
      <c r="J53" s="52">
        <v>0.9375</v>
      </c>
      <c r="K53" s="52">
        <v>0.96527777777777779</v>
      </c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</row>
    <row r="54" spans="1:39">
      <c r="A54" s="76" t="s">
        <v>99</v>
      </c>
      <c r="B54" s="76" t="s">
        <v>82</v>
      </c>
      <c r="C54" s="67"/>
      <c r="D54" s="76" t="s">
        <v>67</v>
      </c>
      <c r="E54" s="76" t="s">
        <v>24</v>
      </c>
      <c r="F54" s="77">
        <v>45872</v>
      </c>
      <c r="G54" s="76" t="s">
        <v>36</v>
      </c>
      <c r="H54" s="76" t="s">
        <v>72</v>
      </c>
      <c r="I54" s="78">
        <f t="shared" ref="I54" si="356">IF(AND(ISBLANK(I52),ISBLANK(I53)),"A",IFERROR(+MOD(I53-I52,1),0))</f>
        <v>0.75</v>
      </c>
      <c r="J54" s="78">
        <f t="shared" ref="J54" si="357">IF(AND(ISBLANK(J52),ISBLANK(J53)),"A",IFERROR(+MOD(J53-J52,1),0))</f>
        <v>0.34027777777777779</v>
      </c>
      <c r="K54" s="78">
        <f t="shared" ref="K54" si="358">IF(AND(ISBLANK(K52),ISBLANK(K53)),"A",IFERROR(+MOD(K53-K52,1),0))</f>
        <v>0.56944444444444442</v>
      </c>
      <c r="L54" s="78" t="str">
        <f t="shared" ref="L54" si="359">IF(AND(ISBLANK(L52),ISBLANK(L53)),"A",IFERROR(+MOD(L53-L52,1),0))</f>
        <v>A</v>
      </c>
      <c r="M54" s="78" t="str">
        <f t="shared" ref="M54" si="360">IF(AND(ISBLANK(M52),ISBLANK(M53)),"A",IFERROR(+MOD(M53-M52,1),0))</f>
        <v>A</v>
      </c>
      <c r="N54" s="78" t="str">
        <f t="shared" ref="N54" si="361">IF(AND(ISBLANK(N52),ISBLANK(N53)),"A",IFERROR(+MOD(N53-N52,1),0))</f>
        <v>A</v>
      </c>
      <c r="O54" s="78" t="str">
        <f t="shared" ref="O54" si="362">IF(AND(ISBLANK(O52),ISBLANK(O53)),"A",IFERROR(+MOD(O53-O52,1),0))</f>
        <v>A</v>
      </c>
      <c r="P54" s="78" t="str">
        <f t="shared" ref="P54" si="363">IF(AND(ISBLANK(P52),ISBLANK(P53)),"A",IFERROR(+MOD(P53-P52,1),0))</f>
        <v>A</v>
      </c>
      <c r="Q54" s="78" t="str">
        <f t="shared" ref="Q54" si="364">IF(AND(ISBLANK(Q52),ISBLANK(Q53)),"A",IFERROR(+MOD(Q53-Q52,1),0))</f>
        <v>A</v>
      </c>
      <c r="R54" s="78" t="str">
        <f t="shared" ref="R54" si="365">IF(AND(ISBLANK(R52),ISBLANK(R53)),"A",IFERROR(+MOD(R53-R52,1),0))</f>
        <v>A</v>
      </c>
      <c r="S54" s="78" t="str">
        <f t="shared" ref="S54" si="366">IF(AND(ISBLANK(S52),ISBLANK(S53)),"A",IFERROR(+MOD(S53-S52,1),0))</f>
        <v>A</v>
      </c>
      <c r="T54" s="78" t="str">
        <f t="shared" ref="T54" si="367">IF(AND(ISBLANK(T52),ISBLANK(T53)),"A",IFERROR(+MOD(T53-T52,1),0))</f>
        <v>A</v>
      </c>
      <c r="U54" s="78" t="str">
        <f t="shared" ref="U54" si="368">IF(AND(ISBLANK(U52),ISBLANK(U53)),"A",IFERROR(+MOD(U53-U52,1),0))</f>
        <v>A</v>
      </c>
      <c r="V54" s="78" t="str">
        <f t="shared" ref="V54" si="369">IF(AND(ISBLANK(V52),ISBLANK(V53)),"A",IFERROR(+MOD(V53-V52,1),0))</f>
        <v>A</v>
      </c>
      <c r="W54" s="78" t="str">
        <f t="shared" ref="W54" si="370">IF(AND(ISBLANK(W52),ISBLANK(W53)),"A",IFERROR(+MOD(W53-W52,1),0))</f>
        <v>A</v>
      </c>
      <c r="X54" s="78" t="str">
        <f t="shared" ref="X54" si="371">IF(AND(ISBLANK(X52),ISBLANK(X53)),"A",IFERROR(+MOD(X53-X52,1),0))</f>
        <v>A</v>
      </c>
      <c r="Y54" s="78" t="str">
        <f t="shared" ref="Y54" si="372">IF(AND(ISBLANK(Y52),ISBLANK(Y53)),"A",IFERROR(+MOD(Y53-Y52,1),0))</f>
        <v>A</v>
      </c>
      <c r="Z54" s="78" t="str">
        <f t="shared" ref="Z54" si="373">IF(AND(ISBLANK(Z52),ISBLANK(Z53)),"A",IFERROR(+MOD(Z53-Z52,1),0))</f>
        <v>A</v>
      </c>
      <c r="AA54" s="78" t="str">
        <f t="shared" ref="AA54" si="374">IF(AND(ISBLANK(AA52),ISBLANK(AA53)),"A",IFERROR(+MOD(AA53-AA52,1),0))</f>
        <v>A</v>
      </c>
      <c r="AB54" s="78" t="str">
        <f t="shared" ref="AB54" si="375">IF(AND(ISBLANK(AB52),ISBLANK(AB53)),"A",IFERROR(+MOD(AB53-AB52,1),0))</f>
        <v>A</v>
      </c>
      <c r="AC54" s="78" t="str">
        <f t="shared" ref="AC54" si="376">IF(AND(ISBLANK(AC52),ISBLANK(AC53)),"A",IFERROR(+MOD(AC53-AC52,1),0))</f>
        <v>A</v>
      </c>
      <c r="AD54" s="78" t="str">
        <f t="shared" ref="AD54" si="377">IF(AND(ISBLANK(AD52),ISBLANK(AD53)),"A",IFERROR(+MOD(AD53-AD52,1),0))</f>
        <v>A</v>
      </c>
      <c r="AE54" s="78" t="str">
        <f t="shared" ref="AE54" si="378">IF(AND(ISBLANK(AE52),ISBLANK(AE53)),"A",IFERROR(+MOD(AE53-AE52,1),0))</f>
        <v>A</v>
      </c>
      <c r="AF54" s="78" t="str">
        <f t="shared" ref="AF54" si="379">IF(AND(ISBLANK(AF52),ISBLANK(AF53)),"A",IFERROR(+MOD(AF53-AF52,1),0))</f>
        <v>A</v>
      </c>
      <c r="AG54" s="78" t="str">
        <f t="shared" ref="AG54" si="380">IF(AND(ISBLANK(AG52),ISBLANK(AG53)),"A",IFERROR(+MOD(AG53-AG52,1),0))</f>
        <v>A</v>
      </c>
      <c r="AH54" s="78" t="str">
        <f t="shared" ref="AH54" si="381">IF(AND(ISBLANK(AH52),ISBLANK(AH53)),"A",IFERROR(+MOD(AH53-AH52,1),0))</f>
        <v>A</v>
      </c>
      <c r="AI54" s="78" t="str">
        <f t="shared" ref="AI54" si="382">IF(AND(ISBLANK(AI52),ISBLANK(AI53)),"A",IFERROR(+MOD(AI53-AI52,1),0))</f>
        <v>A</v>
      </c>
      <c r="AJ54" s="78" t="str">
        <f t="shared" ref="AJ54" si="383">IF(AND(ISBLANK(AJ52),ISBLANK(AJ53)),"A",IFERROR(+MOD(AJ53-AJ52,1),0))</f>
        <v>A</v>
      </c>
      <c r="AK54" s="78" t="str">
        <f t="shared" ref="AK54" si="384">IF(AND(ISBLANK(AK52),ISBLANK(AK53)),"A",IFERROR(+MOD(AK53-AK52,1),0))</f>
        <v>A</v>
      </c>
      <c r="AL54" s="78" t="str">
        <f t="shared" ref="AL54" si="385">IF(AND(ISBLANK(AL52),ISBLANK(AL53)),"A",IFERROR(+MOD(AL53-AL52,1),0))</f>
        <v>A</v>
      </c>
      <c r="AM54" s="78"/>
    </row>
    <row r="55" spans="1:39">
      <c r="A55" s="85" t="s">
        <v>100</v>
      </c>
      <c r="B55" s="66" t="s">
        <v>83</v>
      </c>
      <c r="C55" s="66"/>
      <c r="D55" s="66" t="s">
        <v>67</v>
      </c>
      <c r="E55" s="66" t="s">
        <v>24</v>
      </c>
      <c r="F55" s="73">
        <v>45876</v>
      </c>
      <c r="G55" s="66" t="s">
        <v>36</v>
      </c>
      <c r="H55" s="66" t="s">
        <v>13</v>
      </c>
      <c r="I55" s="52" t="s">
        <v>34</v>
      </c>
      <c r="J55" s="52" t="s">
        <v>34</v>
      </c>
      <c r="K55" s="52" t="s">
        <v>34</v>
      </c>
      <c r="L55" s="52" t="s">
        <v>34</v>
      </c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</row>
    <row r="56" spans="1:39">
      <c r="A56" s="85" t="s">
        <v>100</v>
      </c>
      <c r="B56" s="66" t="s">
        <v>83</v>
      </c>
      <c r="C56" s="66"/>
      <c r="D56" s="66" t="s">
        <v>67</v>
      </c>
      <c r="E56" s="66" t="s">
        <v>24</v>
      </c>
      <c r="F56" s="73">
        <v>45876</v>
      </c>
      <c r="G56" s="66" t="s">
        <v>36</v>
      </c>
      <c r="H56" s="66" t="s">
        <v>32</v>
      </c>
      <c r="I56" s="52">
        <v>0.375</v>
      </c>
      <c r="J56" s="52">
        <v>0.47222222222222227</v>
      </c>
      <c r="K56" s="52">
        <v>0.375</v>
      </c>
      <c r="L56" s="52">
        <v>0.36458333333333331</v>
      </c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</row>
    <row r="57" spans="1:39">
      <c r="A57" s="85" t="s">
        <v>100</v>
      </c>
      <c r="B57" s="66" t="s">
        <v>83</v>
      </c>
      <c r="C57" s="66"/>
      <c r="D57" s="66" t="s">
        <v>67</v>
      </c>
      <c r="E57" s="66" t="s">
        <v>24</v>
      </c>
      <c r="F57" s="73">
        <v>45876</v>
      </c>
      <c r="G57" s="66" t="s">
        <v>36</v>
      </c>
      <c r="H57" s="66" t="s">
        <v>33</v>
      </c>
      <c r="I57" s="52">
        <v>0.13541666666666666</v>
      </c>
      <c r="J57" s="52">
        <v>0.89583333333333337</v>
      </c>
      <c r="K57" s="52">
        <v>0.88888888888888884</v>
      </c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</row>
    <row r="58" spans="1:39">
      <c r="A58" s="76" t="s">
        <v>100</v>
      </c>
      <c r="B58" s="76" t="s">
        <v>83</v>
      </c>
      <c r="C58" s="67"/>
      <c r="D58" s="76" t="s">
        <v>67</v>
      </c>
      <c r="E58" s="76" t="s">
        <v>24</v>
      </c>
      <c r="F58" s="77">
        <v>45876</v>
      </c>
      <c r="G58" s="76" t="s">
        <v>36</v>
      </c>
      <c r="H58" s="76" t="s">
        <v>72</v>
      </c>
      <c r="I58" s="78">
        <f t="shared" ref="I58" si="386">IF(AND(ISBLANK(I56),ISBLANK(I57)),"A",IFERROR(+MOD(I57-I56,1),0))</f>
        <v>0.76041666666666663</v>
      </c>
      <c r="J58" s="78">
        <f t="shared" ref="J58" si="387">IF(AND(ISBLANK(J56),ISBLANK(J57)),"A",IFERROR(+MOD(J57-J56,1),0))</f>
        <v>0.4236111111111111</v>
      </c>
      <c r="K58" s="78">
        <f t="shared" ref="K58" si="388">IF(AND(ISBLANK(K56),ISBLANK(K57)),"A",IFERROR(+MOD(K57-K56,1),0))</f>
        <v>0.51388888888888884</v>
      </c>
      <c r="L58" s="78">
        <f t="shared" ref="L58" si="389">IF(AND(ISBLANK(L56),ISBLANK(L57)),"A",IFERROR(+MOD(L57-L56,1),0))</f>
        <v>0.63541666666666674</v>
      </c>
      <c r="M58" s="78" t="str">
        <f t="shared" ref="M58" si="390">IF(AND(ISBLANK(M56),ISBLANK(M57)),"A",IFERROR(+MOD(M57-M56,1),0))</f>
        <v>A</v>
      </c>
      <c r="N58" s="78" t="str">
        <f t="shared" ref="N58" si="391">IF(AND(ISBLANK(N56),ISBLANK(N57)),"A",IFERROR(+MOD(N57-N56,1),0))</f>
        <v>A</v>
      </c>
      <c r="O58" s="78" t="str">
        <f t="shared" ref="O58" si="392">IF(AND(ISBLANK(O56),ISBLANK(O57)),"A",IFERROR(+MOD(O57-O56,1),0))</f>
        <v>A</v>
      </c>
      <c r="P58" s="78" t="str">
        <f t="shared" ref="P58" si="393">IF(AND(ISBLANK(P56),ISBLANK(P57)),"A",IFERROR(+MOD(P57-P56,1),0))</f>
        <v>A</v>
      </c>
      <c r="Q58" s="78" t="str">
        <f t="shared" ref="Q58" si="394">IF(AND(ISBLANK(Q56),ISBLANK(Q57)),"A",IFERROR(+MOD(Q57-Q56,1),0))</f>
        <v>A</v>
      </c>
      <c r="R58" s="78" t="str">
        <f t="shared" ref="R58" si="395">IF(AND(ISBLANK(R56),ISBLANK(R57)),"A",IFERROR(+MOD(R57-R56,1),0))</f>
        <v>A</v>
      </c>
      <c r="S58" s="78" t="str">
        <f t="shared" ref="S58" si="396">IF(AND(ISBLANK(S56),ISBLANK(S57)),"A",IFERROR(+MOD(S57-S56,1),0))</f>
        <v>A</v>
      </c>
      <c r="T58" s="78" t="str">
        <f t="shared" ref="T58" si="397">IF(AND(ISBLANK(T56),ISBLANK(T57)),"A",IFERROR(+MOD(T57-T56,1),0))</f>
        <v>A</v>
      </c>
      <c r="U58" s="78" t="str">
        <f t="shared" ref="U58" si="398">IF(AND(ISBLANK(U56),ISBLANK(U57)),"A",IFERROR(+MOD(U57-U56,1),0))</f>
        <v>A</v>
      </c>
      <c r="V58" s="78" t="str">
        <f t="shared" ref="V58" si="399">IF(AND(ISBLANK(V56),ISBLANK(V57)),"A",IFERROR(+MOD(V57-V56,1),0))</f>
        <v>A</v>
      </c>
      <c r="W58" s="78" t="str">
        <f t="shared" ref="W58" si="400">IF(AND(ISBLANK(W56),ISBLANK(W57)),"A",IFERROR(+MOD(W57-W56,1),0))</f>
        <v>A</v>
      </c>
      <c r="X58" s="78" t="str">
        <f t="shared" ref="X58" si="401">IF(AND(ISBLANK(X56),ISBLANK(X57)),"A",IFERROR(+MOD(X57-X56,1),0))</f>
        <v>A</v>
      </c>
      <c r="Y58" s="78" t="str">
        <f t="shared" ref="Y58" si="402">IF(AND(ISBLANK(Y56),ISBLANK(Y57)),"A",IFERROR(+MOD(Y57-Y56,1),0))</f>
        <v>A</v>
      </c>
      <c r="Z58" s="78" t="str">
        <f t="shared" ref="Z58" si="403">IF(AND(ISBLANK(Z56),ISBLANK(Z57)),"A",IFERROR(+MOD(Z57-Z56,1),0))</f>
        <v>A</v>
      </c>
      <c r="AA58" s="78" t="str">
        <f t="shared" ref="AA58" si="404">IF(AND(ISBLANK(AA56),ISBLANK(AA57)),"A",IFERROR(+MOD(AA57-AA56,1),0))</f>
        <v>A</v>
      </c>
      <c r="AB58" s="78" t="str">
        <f t="shared" ref="AB58" si="405">IF(AND(ISBLANK(AB56),ISBLANK(AB57)),"A",IFERROR(+MOD(AB57-AB56,1),0))</f>
        <v>A</v>
      </c>
      <c r="AC58" s="78" t="str">
        <f t="shared" ref="AC58" si="406">IF(AND(ISBLANK(AC56),ISBLANK(AC57)),"A",IFERROR(+MOD(AC57-AC56,1),0))</f>
        <v>A</v>
      </c>
      <c r="AD58" s="78" t="str">
        <f t="shared" ref="AD58" si="407">IF(AND(ISBLANK(AD56),ISBLANK(AD57)),"A",IFERROR(+MOD(AD57-AD56,1),0))</f>
        <v>A</v>
      </c>
      <c r="AE58" s="78" t="str">
        <f t="shared" ref="AE58" si="408">IF(AND(ISBLANK(AE56),ISBLANK(AE57)),"A",IFERROR(+MOD(AE57-AE56,1),0))</f>
        <v>A</v>
      </c>
      <c r="AF58" s="78" t="str">
        <f t="shared" ref="AF58" si="409">IF(AND(ISBLANK(AF56),ISBLANK(AF57)),"A",IFERROR(+MOD(AF57-AF56,1),0))</f>
        <v>A</v>
      </c>
      <c r="AG58" s="78" t="str">
        <f t="shared" ref="AG58" si="410">IF(AND(ISBLANK(AG56),ISBLANK(AG57)),"A",IFERROR(+MOD(AG57-AG56,1),0))</f>
        <v>A</v>
      </c>
      <c r="AH58" s="78" t="str">
        <f t="shared" ref="AH58" si="411">IF(AND(ISBLANK(AH56),ISBLANK(AH57)),"A",IFERROR(+MOD(AH57-AH56,1),0))</f>
        <v>A</v>
      </c>
      <c r="AI58" s="78" t="str">
        <f t="shared" ref="AI58" si="412">IF(AND(ISBLANK(AI56),ISBLANK(AI57)),"A",IFERROR(+MOD(AI57-AI56,1),0))</f>
        <v>A</v>
      </c>
      <c r="AJ58" s="78" t="str">
        <f t="shared" ref="AJ58" si="413">IF(AND(ISBLANK(AJ56),ISBLANK(AJ57)),"A",IFERROR(+MOD(AJ57-AJ56,1),0))</f>
        <v>A</v>
      </c>
      <c r="AK58" s="78" t="str">
        <f t="shared" ref="AK58" si="414">IF(AND(ISBLANK(AK56),ISBLANK(AK57)),"A",IFERROR(+MOD(AK57-AK56,1),0))</f>
        <v>A</v>
      </c>
      <c r="AL58" s="78" t="str">
        <f t="shared" ref="AL58" si="415">IF(AND(ISBLANK(AL56),ISBLANK(AL57)),"A",IFERROR(+MOD(AL57-AL56,1),0))</f>
        <v>A</v>
      </c>
      <c r="AM58" s="78"/>
    </row>
  </sheetData>
  <mergeCells count="6">
    <mergeCell ref="AM1:AM2"/>
    <mergeCell ref="A1:D1"/>
    <mergeCell ref="E1:E2"/>
    <mergeCell ref="F1:F2"/>
    <mergeCell ref="G1:G2"/>
    <mergeCell ref="H1:H2"/>
  </mergeCells>
  <phoneticPr fontId="11" type="noConversion"/>
  <conditionalFormatting sqref="A1 A2:D2 E1:H1">
    <cfRule type="containsBlanks" dxfId="908" priority="615">
      <formula>LEN(TRIM(A1))=0</formula>
    </cfRule>
    <cfRule type="containsBlanks" priority="616">
      <formula>LEN(TRIM(A1))=0</formula>
    </cfRule>
  </conditionalFormatting>
  <conditionalFormatting sqref="C20:C21">
    <cfRule type="containsBlanks" dxfId="907" priority="613">
      <formula>LEN(TRIM(C20))=0</formula>
    </cfRule>
    <cfRule type="containsBlanks" priority="614">
      <formula>LEN(TRIM(C20))=0</formula>
    </cfRule>
  </conditionalFormatting>
  <conditionalFormatting sqref="C24:C26">
    <cfRule type="containsBlanks" dxfId="906" priority="611">
      <formula>LEN(TRIM(C24))=0</formula>
    </cfRule>
    <cfRule type="containsBlanks" priority="612">
      <formula>LEN(TRIM(C24))=0</formula>
    </cfRule>
  </conditionalFormatting>
  <conditionalFormatting sqref="E25:E26 E29:E30 D34:E34 E5:E6 D38:E38 E41:E42 E49:E50 G33:G34 G5:G6 G37:G38 G49:G50 G45:G46 G21:G22 G41:G42 G29:G30 G25:G26 E21:E22 E33 E37 E45:E46">
    <cfRule type="containsBlanks" dxfId="905" priority="371">
      <formula>LEN(TRIM(D5))=0</formula>
    </cfRule>
    <cfRule type="containsBlanks" priority="372">
      <formula>LEN(TRIM(D5))=0</formula>
    </cfRule>
  </conditionalFormatting>
  <conditionalFormatting sqref="E23:E24 E27:E28 D31:E31 E3:E4 E47:E48 G31:G32 G3:G4 G35:G36 E39:E40 G47:G48 G43:G44 G19:G20 G39:G40 G27:G28 G23:G24 E19:E20 E32 D32:D33 E35:E36 E43:E44">
    <cfRule type="containsBlanks" dxfId="904" priority="369">
      <formula>LEN(TRIM(D3))=0</formula>
    </cfRule>
    <cfRule type="containsBlanks" priority="370">
      <formula>LEN(TRIM(D3))=0</formula>
    </cfRule>
  </conditionalFormatting>
  <conditionalFormatting sqref="H21:H22">
    <cfRule type="containsBlanks" dxfId="903" priority="365">
      <formula>LEN(TRIM(H21))=0</formula>
    </cfRule>
    <cfRule type="containsBlanks" priority="366">
      <formula>LEN(TRIM(H21))=0</formula>
    </cfRule>
  </conditionalFormatting>
  <conditionalFormatting sqref="H19:H20">
    <cfRule type="containsBlanks" dxfId="902" priority="363">
      <formula>LEN(TRIM(H19))=0</formula>
    </cfRule>
    <cfRule type="containsBlanks" priority="364">
      <formula>LEN(TRIM(H19))=0</formula>
    </cfRule>
  </conditionalFormatting>
  <conditionalFormatting sqref="H25:H26 H29:H30 H33:H34 H5:H6 H37:H38 H41:H42 H45:H46 H49:H50">
    <cfRule type="containsBlanks" dxfId="901" priority="361">
      <formula>LEN(TRIM(H5))=0</formula>
    </cfRule>
    <cfRule type="containsBlanks" priority="362">
      <formula>LEN(TRIM(H5))=0</formula>
    </cfRule>
  </conditionalFormatting>
  <conditionalFormatting sqref="B26">
    <cfRule type="containsBlanks" dxfId="900" priority="385">
      <formula>LEN(TRIM(B26))=0</formula>
    </cfRule>
    <cfRule type="containsBlanks" priority="386">
      <formula>LEN(TRIM(B26))=0</formula>
    </cfRule>
  </conditionalFormatting>
  <conditionalFormatting sqref="C19">
    <cfRule type="containsBlanks" dxfId="899" priority="457">
      <formula>LEN(TRIM(C19))=0</formula>
    </cfRule>
    <cfRule type="containsBlanks" priority="458">
      <formula>LEN(TRIM(C19))=0</formula>
    </cfRule>
  </conditionalFormatting>
  <conditionalFormatting sqref="B22">
    <cfRule type="containsBlanks" dxfId="898" priority="389">
      <formula>LEN(TRIM(B22))=0</formula>
    </cfRule>
    <cfRule type="containsBlanks" priority="390">
      <formula>LEN(TRIM(B22))=0</formula>
    </cfRule>
  </conditionalFormatting>
  <conditionalFormatting sqref="F21:F22">
    <cfRule type="containsBlanks" dxfId="897" priority="315">
      <formula>LEN(TRIM(F21))=0</formula>
    </cfRule>
    <cfRule type="containsBlanks" priority="316">
      <formula>LEN(TRIM(F21))=0</formula>
    </cfRule>
  </conditionalFormatting>
  <conditionalFormatting sqref="F19:F21">
    <cfRule type="containsBlanks" dxfId="896" priority="313">
      <formula>LEN(TRIM(F19))=0</formula>
    </cfRule>
    <cfRule type="containsBlanks" priority="314">
      <formula>LEN(TRIM(F19))=0</formula>
    </cfRule>
  </conditionalFormatting>
  <conditionalFormatting sqref="B34:C34 B5:C6 B38:C38 B42:C42 B46:C46 B49:C50 B30:C30 C33 C37 C41 C45">
    <cfRule type="containsBlanks" dxfId="895" priority="377">
      <formula>LEN(TRIM(B5))=0</formula>
    </cfRule>
    <cfRule type="containsBlanks" priority="378">
      <formula>LEN(TRIM(B5))=0</formula>
    </cfRule>
  </conditionalFormatting>
  <conditionalFormatting sqref="B51:C51 C52 B52:B53">
    <cfRule type="containsBlanks" dxfId="894" priority="287">
      <formula>LEN(TRIM(B51))=0</formula>
    </cfRule>
    <cfRule type="containsBlanks" priority="288">
      <formula>LEN(TRIM(B51))=0</formula>
    </cfRule>
  </conditionalFormatting>
  <conditionalFormatting sqref="B54:C54 C53">
    <cfRule type="containsBlanks" dxfId="893" priority="289">
      <formula>LEN(TRIM(B53))=0</formula>
    </cfRule>
    <cfRule type="containsBlanks" priority="290">
      <formula>LEN(TRIM(B53))=0</formula>
    </cfRule>
  </conditionalFormatting>
  <conditionalFormatting sqref="C23">
    <cfRule type="containsBlanks" dxfId="892" priority="453">
      <formula>LEN(TRIM(C23))=0</formula>
    </cfRule>
    <cfRule type="containsBlanks" priority="454">
      <formula>LEN(TRIM(C23))=0</formula>
    </cfRule>
  </conditionalFormatting>
  <conditionalFormatting sqref="F51:F53">
    <cfRule type="containsBlanks" dxfId="891" priority="275">
      <formula>LEN(TRIM(F51))=0</formula>
    </cfRule>
    <cfRule type="containsBlanks" priority="276">
      <formula>LEN(TRIM(F51))=0</formula>
    </cfRule>
  </conditionalFormatting>
  <conditionalFormatting sqref="F25:F26 F29:F30 F33:F34 F5:F6 F37:F38 F45:F46 F49:F50">
    <cfRule type="containsBlanks" dxfId="890" priority="309">
      <formula>LEN(TRIM(F5))=0</formula>
    </cfRule>
    <cfRule type="containsBlanks" priority="310">
      <formula>LEN(TRIM(F5))=0</formula>
    </cfRule>
  </conditionalFormatting>
  <conditionalFormatting sqref="F26 F30 F34 F6 F38 F46 F50">
    <cfRule type="containsBlanks" dxfId="889" priority="305">
      <formula>LEN(TRIM(F6))=0</formula>
    </cfRule>
    <cfRule type="containsBlanks" priority="306">
      <formula>LEN(TRIM(F6))=0</formula>
    </cfRule>
  </conditionalFormatting>
  <conditionalFormatting sqref="G57:G58 E57:E58">
    <cfRule type="containsBlanks" dxfId="888" priority="253">
      <formula>LEN(TRIM(E57))=0</formula>
    </cfRule>
    <cfRule type="containsBlanks" priority="254">
      <formula>LEN(TRIM(E57))=0</formula>
    </cfRule>
  </conditionalFormatting>
  <conditionalFormatting sqref="F23:F25 F31:F33 F3:F5 F43:F45 F47:F49 F27:F29 F35:F37">
    <cfRule type="containsBlanks" dxfId="887" priority="307">
      <formula>LEN(TRIM(F3))=0</formula>
    </cfRule>
    <cfRule type="containsBlanks" priority="308">
      <formula>LEN(TRIM(F3))=0</formula>
    </cfRule>
  </conditionalFormatting>
  <conditionalFormatting sqref="G9:G10">
    <cfRule type="containsBlanks" dxfId="886" priority="181">
      <formula>LEN(TRIM(G9))=0</formula>
    </cfRule>
    <cfRule type="containsBlanks" priority="182">
      <formula>LEN(TRIM(G9))=0</formula>
    </cfRule>
  </conditionalFormatting>
  <conditionalFormatting sqref="B3:C4 B47:C48 C27:C29 C31:C32 C35:C36 C39:C40 C43:C44">
    <cfRule type="containsBlanks" dxfId="885" priority="375">
      <formula>LEN(TRIM(B3))=0</formula>
    </cfRule>
    <cfRule type="containsBlanks" priority="376">
      <formula>LEN(TRIM(B3))=0</formula>
    </cfRule>
  </conditionalFormatting>
  <conditionalFormatting sqref="E7:E8">
    <cfRule type="containsBlanks" dxfId="884" priority="183">
      <formula>LEN(TRIM(E7))=0</formula>
    </cfRule>
    <cfRule type="containsBlanks" priority="184">
      <formula>LEN(TRIM(E7))=0</formula>
    </cfRule>
  </conditionalFormatting>
  <conditionalFormatting sqref="F54">
    <cfRule type="containsBlanks" dxfId="883" priority="273">
      <formula>LEN(TRIM(F54))=0</formula>
    </cfRule>
    <cfRule type="containsBlanks" priority="274">
      <formula>LEN(TRIM(F54))=0</formula>
    </cfRule>
  </conditionalFormatting>
  <conditionalFormatting sqref="H23:H24 H27:H28 H31:H32 H3:H4 H35:H36 H39:H40 H43:H44 H47:H48">
    <cfRule type="containsBlanks" dxfId="882" priority="359">
      <formula>LEN(TRIM(H3))=0</formula>
    </cfRule>
    <cfRule type="containsBlanks" priority="360">
      <formula>LEN(TRIM(H3))=0</formula>
    </cfRule>
  </conditionalFormatting>
  <conditionalFormatting sqref="D51:E51 G51:G52 E52 D52:D53">
    <cfRule type="containsBlanks" dxfId="881" priority="283">
      <formula>LEN(TRIM(D51))=0</formula>
    </cfRule>
    <cfRule type="containsBlanks" priority="284">
      <formula>LEN(TRIM(D51))=0</formula>
    </cfRule>
  </conditionalFormatting>
  <conditionalFormatting sqref="G7:G8">
    <cfRule type="containsBlanks" dxfId="880" priority="179">
      <formula>LEN(TRIM(G7))=0</formula>
    </cfRule>
    <cfRule type="containsBlanks" priority="180">
      <formula>LEN(TRIM(G7))=0</formula>
    </cfRule>
  </conditionalFormatting>
  <conditionalFormatting sqref="H53:H54">
    <cfRule type="containsBlanks" dxfId="879" priority="281">
      <formula>LEN(TRIM(H53))=0</formula>
    </cfRule>
    <cfRule type="containsBlanks" priority="282">
      <formula>LEN(TRIM(H53))=0</formula>
    </cfRule>
  </conditionalFormatting>
  <conditionalFormatting sqref="F22">
    <cfRule type="containsBlanks" dxfId="878" priority="311">
      <formula>LEN(TRIM(F22))=0</formula>
    </cfRule>
    <cfRule type="containsBlanks" priority="312">
      <formula>LEN(TRIM(F22))=0</formula>
    </cfRule>
  </conditionalFormatting>
  <conditionalFormatting sqref="F53:F54">
    <cfRule type="containsBlanks" dxfId="877" priority="277">
      <formula>LEN(TRIM(F53))=0</formula>
    </cfRule>
    <cfRule type="containsBlanks" priority="278">
      <formula>LEN(TRIM(F53))=0</formula>
    </cfRule>
  </conditionalFormatting>
  <conditionalFormatting sqref="B10:C10 C9">
    <cfRule type="containsBlanks" dxfId="876" priority="205">
      <formula>LEN(TRIM(B9))=0</formula>
    </cfRule>
    <cfRule type="containsBlanks" priority="206">
      <formula>LEN(TRIM(B9))=0</formula>
    </cfRule>
  </conditionalFormatting>
  <conditionalFormatting sqref="B55:C55 C56 B56:B57">
    <cfRule type="containsBlanks" dxfId="875" priority="255">
      <formula>LEN(TRIM(B55))=0</formula>
    </cfRule>
    <cfRule type="containsBlanks" priority="256">
      <formula>LEN(TRIM(B55))=0</formula>
    </cfRule>
  </conditionalFormatting>
  <conditionalFormatting sqref="C8">
    <cfRule type="containsBlanks" dxfId="874" priority="203">
      <formula>LEN(TRIM(C8))=0</formula>
    </cfRule>
    <cfRule type="containsBlanks" priority="204">
      <formula>LEN(TRIM(C8))=0</formula>
    </cfRule>
  </conditionalFormatting>
  <conditionalFormatting sqref="B58:C58 C57">
    <cfRule type="containsBlanks" dxfId="873" priority="257">
      <formula>LEN(TRIM(B57))=0</formula>
    </cfRule>
    <cfRule type="containsBlanks" priority="258">
      <formula>LEN(TRIM(B57))=0</formula>
    </cfRule>
  </conditionalFormatting>
  <conditionalFormatting sqref="D54:E54 G53:G54 E53">
    <cfRule type="containsBlanks" dxfId="872" priority="285">
      <formula>LEN(TRIM(D53))=0</formula>
    </cfRule>
    <cfRule type="containsBlanks" priority="286">
      <formula>LEN(TRIM(D53))=0</formula>
    </cfRule>
  </conditionalFormatting>
  <conditionalFormatting sqref="H51:H52">
    <cfRule type="containsBlanks" dxfId="871" priority="279">
      <formula>LEN(TRIM(H51))=0</formula>
    </cfRule>
    <cfRule type="containsBlanks" priority="280">
      <formula>LEN(TRIM(H51))=0</formula>
    </cfRule>
  </conditionalFormatting>
  <conditionalFormatting sqref="F55:F57">
    <cfRule type="containsBlanks" dxfId="870" priority="243">
      <formula>LEN(TRIM(F55))=0</formula>
    </cfRule>
    <cfRule type="containsBlanks" priority="244">
      <formula>LEN(TRIM(F55))=0</formula>
    </cfRule>
  </conditionalFormatting>
  <conditionalFormatting sqref="B11:B13">
    <cfRule type="containsBlanks" dxfId="869" priority="161">
      <formula>LEN(TRIM(B11))=0</formula>
    </cfRule>
    <cfRule type="containsBlanks" priority="162">
      <formula>LEN(TRIM(B11))=0</formula>
    </cfRule>
  </conditionalFormatting>
  <conditionalFormatting sqref="H9:H10">
    <cfRule type="containsBlanks" dxfId="868" priority="177">
      <formula>LEN(TRIM(H9))=0</formula>
    </cfRule>
    <cfRule type="containsBlanks" priority="178">
      <formula>LEN(TRIM(H9))=0</formula>
    </cfRule>
  </conditionalFormatting>
  <conditionalFormatting sqref="H7:H8">
    <cfRule type="containsBlanks" dxfId="867" priority="175">
      <formula>LEN(TRIM(H7))=0</formula>
    </cfRule>
    <cfRule type="containsBlanks" priority="176">
      <formula>LEN(TRIM(H7))=0</formula>
    </cfRule>
  </conditionalFormatting>
  <conditionalFormatting sqref="F9:F10">
    <cfRule type="containsBlanks" dxfId="866" priority="173">
      <formula>LEN(TRIM(F9))=0</formula>
    </cfRule>
    <cfRule type="containsBlanks" priority="174">
      <formula>LEN(TRIM(F9))=0</formula>
    </cfRule>
  </conditionalFormatting>
  <conditionalFormatting sqref="C12">
    <cfRule type="containsBlanks" dxfId="865" priority="165">
      <formula>LEN(TRIM(C12))=0</formula>
    </cfRule>
    <cfRule type="containsBlanks" priority="166">
      <formula>LEN(TRIM(C12))=0</formula>
    </cfRule>
  </conditionalFormatting>
  <conditionalFormatting sqref="B14:C14 C13:C14">
    <cfRule type="containsBlanks" dxfId="864" priority="167">
      <formula>LEN(TRIM(B13))=0</formula>
    </cfRule>
    <cfRule type="containsBlanks" priority="168">
      <formula>LEN(TRIM(B13))=0</formula>
    </cfRule>
  </conditionalFormatting>
  <conditionalFormatting sqref="F7:F9">
    <cfRule type="containsBlanks" dxfId="863" priority="171">
      <formula>LEN(TRIM(F7))=0</formula>
    </cfRule>
    <cfRule type="containsBlanks" priority="172">
      <formula>LEN(TRIM(F7))=0</formula>
    </cfRule>
  </conditionalFormatting>
  <conditionalFormatting sqref="F10">
    <cfRule type="containsBlanks" dxfId="862" priority="169">
      <formula>LEN(TRIM(F10))=0</formula>
    </cfRule>
    <cfRule type="containsBlanks" priority="170">
      <formula>LEN(TRIM(F10))=0</formula>
    </cfRule>
  </conditionalFormatting>
  <conditionalFormatting sqref="D10">
    <cfRule type="containsBlanks" dxfId="861" priority="201">
      <formula>LEN(TRIM(D10))=0</formula>
    </cfRule>
    <cfRule type="containsBlanks" priority="202">
      <formula>LEN(TRIM(D10))=0</formula>
    </cfRule>
  </conditionalFormatting>
  <conditionalFormatting sqref="G13:G14">
    <cfRule type="containsBlanks" dxfId="860" priority="119">
      <formula>LEN(TRIM(G13))=0</formula>
    </cfRule>
    <cfRule type="containsBlanks" priority="120">
      <formula>LEN(TRIM(G13))=0</formula>
    </cfRule>
  </conditionalFormatting>
  <conditionalFormatting sqref="G11:G12">
    <cfRule type="containsBlanks" dxfId="859" priority="117">
      <formula>LEN(TRIM(G11))=0</formula>
    </cfRule>
    <cfRule type="containsBlanks" priority="118">
      <formula>LEN(TRIM(G11))=0</formula>
    </cfRule>
  </conditionalFormatting>
  <conditionalFormatting sqref="G55:G56 E55:E56">
    <cfRule type="containsBlanks" dxfId="858" priority="251">
      <formula>LEN(TRIM(E55))=0</formula>
    </cfRule>
    <cfRule type="containsBlanks" priority="252">
      <formula>LEN(TRIM(E55))=0</formula>
    </cfRule>
  </conditionalFormatting>
  <conditionalFormatting sqref="H57:H58">
    <cfRule type="containsBlanks" dxfId="857" priority="249">
      <formula>LEN(TRIM(H57))=0</formula>
    </cfRule>
    <cfRule type="containsBlanks" priority="250">
      <formula>LEN(TRIM(H57))=0</formula>
    </cfRule>
  </conditionalFormatting>
  <conditionalFormatting sqref="H55:H56">
    <cfRule type="containsBlanks" dxfId="856" priority="247">
      <formula>LEN(TRIM(H55))=0</formula>
    </cfRule>
    <cfRule type="containsBlanks" priority="248">
      <formula>LEN(TRIM(H55))=0</formula>
    </cfRule>
  </conditionalFormatting>
  <conditionalFormatting sqref="F57:F58">
    <cfRule type="containsBlanks" dxfId="855" priority="245">
      <formula>LEN(TRIM(F57))=0</formula>
    </cfRule>
    <cfRule type="containsBlanks" priority="246">
      <formula>LEN(TRIM(F57))=0</formula>
    </cfRule>
  </conditionalFormatting>
  <conditionalFormatting sqref="F58">
    <cfRule type="containsBlanks" dxfId="854" priority="241">
      <formula>LEN(TRIM(F58))=0</formula>
    </cfRule>
    <cfRule type="containsBlanks" priority="242">
      <formula>LEN(TRIM(F58))=0</formula>
    </cfRule>
  </conditionalFormatting>
  <conditionalFormatting sqref="F14">
    <cfRule type="containsBlanks" dxfId="853" priority="121">
      <formula>LEN(TRIM(F14))=0</formula>
    </cfRule>
    <cfRule type="containsBlanks" priority="122">
      <formula>LEN(TRIM(F14))=0</formula>
    </cfRule>
  </conditionalFormatting>
  <conditionalFormatting sqref="F15:F17">
    <cfRule type="containsBlanks" dxfId="852" priority="63">
      <formula>LEN(TRIM(F15))=0</formula>
    </cfRule>
    <cfRule type="containsBlanks" priority="64">
      <formula>LEN(TRIM(F15))=0</formula>
    </cfRule>
  </conditionalFormatting>
  <conditionalFormatting sqref="D14">
    <cfRule type="containsBlanks" dxfId="851" priority="135">
      <formula>LEN(TRIM(D14))=0</formula>
    </cfRule>
    <cfRule type="containsBlanks" priority="136">
      <formula>LEN(TRIM(D14))=0</formula>
    </cfRule>
  </conditionalFormatting>
  <conditionalFormatting sqref="C11:C13">
    <cfRule type="containsBlanks" dxfId="850" priority="137">
      <formula>LEN(TRIM(C11))=0</formula>
    </cfRule>
    <cfRule type="containsBlanks" priority="138">
      <formula>LEN(TRIM(C11))=0</formula>
    </cfRule>
  </conditionalFormatting>
  <conditionalFormatting sqref="D6">
    <cfRule type="containsBlanks" dxfId="849" priority="133">
      <formula>LEN(TRIM(D6))=0</formula>
    </cfRule>
    <cfRule type="containsBlanks" priority="134">
      <formula>LEN(TRIM(D6))=0</formula>
    </cfRule>
  </conditionalFormatting>
  <conditionalFormatting sqref="B7:B9">
    <cfRule type="containsBlanks" dxfId="848" priority="187">
      <formula>LEN(TRIM(B7))=0</formula>
    </cfRule>
    <cfRule type="containsBlanks" priority="188">
      <formula>LEN(TRIM(B7))=0</formula>
    </cfRule>
  </conditionalFormatting>
  <conditionalFormatting sqref="E9:E10">
    <cfRule type="containsBlanks" dxfId="847" priority="185">
      <formula>LEN(TRIM(E9))=0</formula>
    </cfRule>
    <cfRule type="containsBlanks" priority="186">
      <formula>LEN(TRIM(E9))=0</formula>
    </cfRule>
  </conditionalFormatting>
  <conditionalFormatting sqref="F17:F18">
    <cfRule type="containsBlanks" dxfId="846" priority="65">
      <formula>LEN(TRIM(F17))=0</formula>
    </cfRule>
    <cfRule type="containsBlanks" priority="66">
      <formula>LEN(TRIM(F17))=0</formula>
    </cfRule>
  </conditionalFormatting>
  <conditionalFormatting sqref="F18">
    <cfRule type="containsBlanks" dxfId="845" priority="61">
      <formula>LEN(TRIM(F18))=0</formula>
    </cfRule>
    <cfRule type="containsBlanks" priority="62">
      <formula>LEN(TRIM(F18))=0</formula>
    </cfRule>
  </conditionalFormatting>
  <conditionalFormatting sqref="B19:B21">
    <cfRule type="containsBlanks" dxfId="844" priority="57">
      <formula>LEN(TRIM(B19))=0</formula>
    </cfRule>
    <cfRule type="containsBlanks" priority="58">
      <formula>LEN(TRIM(B19))=0</formula>
    </cfRule>
  </conditionalFormatting>
  <conditionalFormatting sqref="F12:F13">
    <cfRule type="containsBlanks" dxfId="843" priority="125">
      <formula>LEN(TRIM(F12))=0</formula>
    </cfRule>
    <cfRule type="containsBlanks" priority="126">
      <formula>LEN(TRIM(F12))=0</formula>
    </cfRule>
  </conditionalFormatting>
  <conditionalFormatting sqref="F14">
    <cfRule type="containsBlanks" dxfId="842" priority="123">
      <formula>LEN(TRIM(F14))=0</formula>
    </cfRule>
    <cfRule type="containsBlanks" priority="124">
      <formula>LEN(TRIM(F14))=0</formula>
    </cfRule>
  </conditionalFormatting>
  <conditionalFormatting sqref="E11:E12">
    <cfRule type="containsBlanks" dxfId="841" priority="129">
      <formula>LEN(TRIM(E11))=0</formula>
    </cfRule>
    <cfRule type="containsBlanks" priority="130">
      <formula>LEN(TRIM(E11))=0</formula>
    </cfRule>
  </conditionalFormatting>
  <conditionalFormatting sqref="E13:E14">
    <cfRule type="containsBlanks" dxfId="840" priority="131">
      <formula>LEN(TRIM(E13))=0</formula>
    </cfRule>
    <cfRule type="containsBlanks" priority="132">
      <formula>LEN(TRIM(E13))=0</formula>
    </cfRule>
  </conditionalFormatting>
  <conditionalFormatting sqref="D26">
    <cfRule type="containsBlanks" dxfId="839" priority="45">
      <formula>LEN(TRIM(D26))=0</formula>
    </cfRule>
    <cfRule type="containsBlanks" priority="46">
      <formula>LEN(TRIM(D26))=0</formula>
    </cfRule>
  </conditionalFormatting>
  <conditionalFormatting sqref="F11">
    <cfRule type="containsBlanks" dxfId="838" priority="127">
      <formula>LEN(TRIM(F11))=0</formula>
    </cfRule>
    <cfRule type="containsBlanks" priority="128">
      <formula>LEN(TRIM(F11))=0</formula>
    </cfRule>
  </conditionalFormatting>
  <conditionalFormatting sqref="D30">
    <cfRule type="containsBlanks" dxfId="837" priority="39">
      <formula>LEN(TRIM(D30))=0</formula>
    </cfRule>
    <cfRule type="containsBlanks" priority="40">
      <formula>LEN(TRIM(D30))=0</formula>
    </cfRule>
  </conditionalFormatting>
  <conditionalFormatting sqref="B27:B29">
    <cfRule type="containsBlanks" dxfId="836" priority="41">
      <formula>LEN(TRIM(B27))=0</formula>
    </cfRule>
    <cfRule type="containsBlanks" priority="42">
      <formula>LEN(TRIM(B27))=0</formula>
    </cfRule>
  </conditionalFormatting>
  <conditionalFormatting sqref="H13:H14">
    <cfRule type="containsBlanks" dxfId="835" priority="115">
      <formula>LEN(TRIM(H13))=0</formula>
    </cfRule>
    <cfRule type="containsBlanks" priority="116">
      <formula>LEN(TRIM(H13))=0</formula>
    </cfRule>
  </conditionalFormatting>
  <conditionalFormatting sqref="H11:H12">
    <cfRule type="containsBlanks" dxfId="834" priority="113">
      <formula>LEN(TRIM(H11))=0</formula>
    </cfRule>
    <cfRule type="containsBlanks" priority="114">
      <formula>LEN(TRIM(H11))=0</formula>
    </cfRule>
  </conditionalFormatting>
  <conditionalFormatting sqref="D22">
    <cfRule type="containsBlanks" dxfId="833" priority="55">
      <formula>LEN(TRIM(D22))=0</formula>
    </cfRule>
    <cfRule type="containsBlanks" priority="56">
      <formula>LEN(TRIM(D22))=0</formula>
    </cfRule>
  </conditionalFormatting>
  <conditionalFormatting sqref="D42">
    <cfRule type="containsBlanks" dxfId="832" priority="27">
      <formula>LEN(TRIM(D42))=0</formula>
    </cfRule>
    <cfRule type="containsBlanks" priority="28">
      <formula>LEN(TRIM(D42))=0</formula>
    </cfRule>
  </conditionalFormatting>
  <conditionalFormatting sqref="H15:H16">
    <cfRule type="containsBlanks" dxfId="831" priority="67">
      <formula>LEN(TRIM(H15))=0</formula>
    </cfRule>
    <cfRule type="containsBlanks" priority="68">
      <formula>LEN(TRIM(H15))=0</formula>
    </cfRule>
  </conditionalFormatting>
  <conditionalFormatting sqref="B35:B37">
    <cfRule type="containsBlanks" dxfId="830" priority="31">
      <formula>LEN(TRIM(B35))=0</formula>
    </cfRule>
    <cfRule type="containsBlanks" priority="32">
      <formula>LEN(TRIM(B35))=0</formula>
    </cfRule>
  </conditionalFormatting>
  <conditionalFormatting sqref="B43:B45">
    <cfRule type="containsBlanks" dxfId="829" priority="19">
      <formula>LEN(TRIM(B43))=0</formula>
    </cfRule>
    <cfRule type="containsBlanks" priority="20">
      <formula>LEN(TRIM(B43))=0</formula>
    </cfRule>
  </conditionalFormatting>
  <conditionalFormatting sqref="C22">
    <cfRule type="containsBlanks" dxfId="828" priority="53">
      <formula>LEN(TRIM(C22))=0</formula>
    </cfRule>
    <cfRule type="containsBlanks" priority="54">
      <formula>LEN(TRIM(C22))=0</formula>
    </cfRule>
  </conditionalFormatting>
  <conditionalFormatting sqref="B39:B41">
    <cfRule type="containsBlanks" dxfId="827" priority="29">
      <formula>LEN(TRIM(B39))=0</formula>
    </cfRule>
    <cfRule type="containsBlanks" priority="30">
      <formula>LEN(TRIM(B39))=0</formula>
    </cfRule>
  </conditionalFormatting>
  <conditionalFormatting sqref="F41:F42">
    <cfRule type="containsBlanks" dxfId="826" priority="25">
      <formula>LEN(TRIM(F41))=0</formula>
    </cfRule>
    <cfRule type="containsBlanks" priority="26">
      <formula>LEN(TRIM(F41))=0</formula>
    </cfRule>
  </conditionalFormatting>
  <conditionalFormatting sqref="F39:F41">
    <cfRule type="containsBlanks" dxfId="825" priority="23">
      <formula>LEN(TRIM(F39))=0</formula>
    </cfRule>
    <cfRule type="containsBlanks" priority="24">
      <formula>LEN(TRIM(F39))=0</formula>
    </cfRule>
  </conditionalFormatting>
  <conditionalFormatting sqref="D46">
    <cfRule type="containsBlanks" dxfId="824" priority="17">
      <formula>LEN(TRIM(D46))=0</formula>
    </cfRule>
    <cfRule type="containsBlanks" priority="18">
      <formula>LEN(TRIM(D46))=0</formula>
    </cfRule>
  </conditionalFormatting>
  <conditionalFormatting sqref="B23:B25">
    <cfRule type="containsBlanks" dxfId="823" priority="47">
      <formula>LEN(TRIM(B23))=0</formula>
    </cfRule>
    <cfRule type="containsBlanks" priority="48">
      <formula>LEN(TRIM(B23))=0</formula>
    </cfRule>
  </conditionalFormatting>
  <conditionalFormatting sqref="D50">
    <cfRule type="containsBlanks" dxfId="822" priority="13">
      <formula>LEN(TRIM(D50))=0</formula>
    </cfRule>
    <cfRule type="containsBlanks" priority="14">
      <formula>LEN(TRIM(D50))=0</formula>
    </cfRule>
  </conditionalFormatting>
  <conditionalFormatting sqref="D58">
    <cfRule type="containsBlanks" dxfId="821" priority="11">
      <formula>LEN(TRIM(D58))=0</formula>
    </cfRule>
    <cfRule type="containsBlanks" priority="12">
      <formula>LEN(TRIM(D58))=0</formula>
    </cfRule>
  </conditionalFormatting>
  <conditionalFormatting sqref="D55:D57">
    <cfRule type="containsBlanks" dxfId="820" priority="9">
      <formula>LEN(TRIM(D55))=0</formula>
    </cfRule>
    <cfRule type="containsBlanks" priority="10">
      <formula>LEN(TRIM(D55))=0</formula>
    </cfRule>
  </conditionalFormatting>
  <conditionalFormatting sqref="A6">
    <cfRule type="containsBlanks" dxfId="819" priority="7">
      <formula>LEN(TRIM(A6))=0</formula>
    </cfRule>
    <cfRule type="containsBlanks" priority="8">
      <formula>LEN(TRIM(A6))=0</formula>
    </cfRule>
  </conditionalFormatting>
  <conditionalFormatting sqref="B31:B33">
    <cfRule type="containsBlanks" dxfId="818" priority="35">
      <formula>LEN(TRIM(B31))=0</formula>
    </cfRule>
    <cfRule type="containsBlanks" priority="36">
      <formula>LEN(TRIM(B31))=0</formula>
    </cfRule>
  </conditionalFormatting>
  <conditionalFormatting sqref="A34 A38 A42 A46 A50 A54 A58">
    <cfRule type="containsBlanks" dxfId="817" priority="1">
      <formula>LEN(TRIM(A34))=0</formula>
    </cfRule>
    <cfRule type="containsBlanks" priority="2">
      <formula>LEN(TRIM(A34))=0</formula>
    </cfRule>
  </conditionalFormatting>
  <conditionalFormatting sqref="C16:C17">
    <cfRule type="containsBlanks" dxfId="816" priority="109">
      <formula>LEN(TRIM(C16))=0</formula>
    </cfRule>
    <cfRule type="containsBlanks" priority="110">
      <formula>LEN(TRIM(C16))=0</formula>
    </cfRule>
  </conditionalFormatting>
  <conditionalFormatting sqref="B18:C18 C17">
    <cfRule type="containsBlanks" dxfId="815" priority="111">
      <formula>LEN(TRIM(B17))=0</formula>
    </cfRule>
    <cfRule type="containsBlanks" priority="112">
      <formula>LEN(TRIM(B17))=0</formula>
    </cfRule>
  </conditionalFormatting>
  <conditionalFormatting sqref="E17:E18">
    <cfRule type="containsBlanks" dxfId="814" priority="77">
      <formula>LEN(TRIM(E17))=0</formula>
    </cfRule>
    <cfRule type="containsBlanks" priority="78">
      <formula>LEN(TRIM(E17))=0</formula>
    </cfRule>
  </conditionalFormatting>
  <conditionalFormatting sqref="C15:C17">
    <cfRule type="containsBlanks" dxfId="813" priority="103">
      <formula>LEN(TRIM(C15))=0</formula>
    </cfRule>
    <cfRule type="containsBlanks" priority="104">
      <formula>LEN(TRIM(C15))=0</formula>
    </cfRule>
  </conditionalFormatting>
  <conditionalFormatting sqref="D18">
    <cfRule type="containsBlanks" dxfId="812" priority="101">
      <formula>LEN(TRIM(D18))=0</formula>
    </cfRule>
    <cfRule type="containsBlanks" priority="102">
      <formula>LEN(TRIM(D18))=0</formula>
    </cfRule>
  </conditionalFormatting>
  <conditionalFormatting sqref="F42">
    <cfRule type="containsBlanks" dxfId="811" priority="21">
      <formula>LEN(TRIM(F42))=0</formula>
    </cfRule>
    <cfRule type="containsBlanks" priority="22">
      <formula>LEN(TRIM(F42))=0</formula>
    </cfRule>
  </conditionalFormatting>
  <conditionalFormatting sqref="B15:B17">
    <cfRule type="containsBlanks" dxfId="810" priority="107">
      <formula>LEN(TRIM(B15))=0</formula>
    </cfRule>
    <cfRule type="containsBlanks" priority="108">
      <formula>LEN(TRIM(B15))=0</formula>
    </cfRule>
  </conditionalFormatting>
  <conditionalFormatting sqref="G17:G18">
    <cfRule type="containsBlanks" dxfId="809" priority="73">
      <formula>LEN(TRIM(G17))=0</formula>
    </cfRule>
    <cfRule type="containsBlanks" priority="74">
      <formula>LEN(TRIM(G17))=0</formula>
    </cfRule>
  </conditionalFormatting>
  <conditionalFormatting sqref="E15:E16">
    <cfRule type="containsBlanks" dxfId="808" priority="75">
      <formula>LEN(TRIM(E15))=0</formula>
    </cfRule>
    <cfRule type="containsBlanks" priority="76">
      <formula>LEN(TRIM(E15))=0</formula>
    </cfRule>
  </conditionalFormatting>
  <conditionalFormatting sqref="G15:G16">
    <cfRule type="containsBlanks" dxfId="807" priority="71">
      <formula>LEN(TRIM(G15))=0</formula>
    </cfRule>
    <cfRule type="containsBlanks" priority="72">
      <formula>LEN(TRIM(G15))=0</formula>
    </cfRule>
  </conditionalFormatting>
  <conditionalFormatting sqref="H17:H18">
    <cfRule type="containsBlanks" dxfId="806" priority="69">
      <formula>LEN(TRIM(H17))=0</formula>
    </cfRule>
    <cfRule type="containsBlanks" priority="70">
      <formula>LEN(TRIM(H17))=0</formula>
    </cfRule>
  </conditionalFormatting>
  <conditionalFormatting sqref="A10 A14">
    <cfRule type="containsBlanks" dxfId="805" priority="5">
      <formula>LEN(TRIM(A10))=0</formula>
    </cfRule>
    <cfRule type="containsBlanks" priority="6">
      <formula>LEN(TRIM(A10))=0</formula>
    </cfRule>
  </conditionalFormatting>
  <conditionalFormatting sqref="A18 A22 A26 A30">
    <cfRule type="containsBlanks" dxfId="804" priority="3">
      <formula>LEN(TRIM(A18))=0</formula>
    </cfRule>
    <cfRule type="containsBlanks" priority="4">
      <formula>LEN(TRIM(A18))=0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9"/>
  <sheetViews>
    <sheetView workbookViewId="0">
      <selection activeCell="K5" sqref="K5"/>
    </sheetView>
  </sheetViews>
  <sheetFormatPr defaultRowHeight="14.5"/>
  <cols>
    <col min="1" max="1" width="7.36328125" bestFit="1" customWidth="1"/>
    <col min="2" max="2" width="12" bestFit="1" customWidth="1"/>
    <col min="3" max="3" width="8.08984375" bestFit="1" customWidth="1"/>
    <col min="4" max="4" width="10.08984375" bestFit="1" customWidth="1"/>
    <col min="5" max="5" width="13.54296875" bestFit="1" customWidth="1"/>
    <col min="6" max="6" width="9" bestFit="1" customWidth="1"/>
    <col min="7" max="7" width="13" bestFit="1" customWidth="1"/>
    <col min="8" max="8" width="9" bestFit="1" customWidth="1"/>
    <col min="9" max="9" width="6.08984375" bestFit="1" customWidth="1"/>
    <col min="10" max="10" width="6.90625" bestFit="1" customWidth="1"/>
    <col min="11" max="19" width="5.36328125" bestFit="1" customWidth="1"/>
    <col min="20" max="41" width="5.7265625" bestFit="1" customWidth="1"/>
    <col min="42" max="42" width="4.81640625" bestFit="1" customWidth="1"/>
  </cols>
  <sheetData>
    <row r="1" spans="1:42" ht="24">
      <c r="A1" s="20" t="s">
        <v>59</v>
      </c>
      <c r="B1" s="21" t="s">
        <v>60</v>
      </c>
      <c r="C1" s="21" t="s">
        <v>11</v>
      </c>
      <c r="D1" s="21" t="s">
        <v>9</v>
      </c>
      <c r="E1" s="21" t="s">
        <v>57</v>
      </c>
      <c r="F1" s="21" t="s">
        <v>61</v>
      </c>
      <c r="G1" s="21" t="s">
        <v>62</v>
      </c>
      <c r="H1" s="21" t="s">
        <v>63</v>
      </c>
      <c r="I1" s="21" t="s">
        <v>13</v>
      </c>
      <c r="J1" s="22" t="s">
        <v>64</v>
      </c>
      <c r="K1" s="23">
        <v>45870</v>
      </c>
      <c r="L1" s="23">
        <v>45871</v>
      </c>
      <c r="M1" s="23">
        <v>45872</v>
      </c>
      <c r="N1" s="23">
        <v>45873</v>
      </c>
      <c r="O1" s="23">
        <v>45874</v>
      </c>
      <c r="P1" s="23">
        <v>45875</v>
      </c>
      <c r="Q1" s="23">
        <v>45876</v>
      </c>
      <c r="R1" s="23">
        <v>45877</v>
      </c>
      <c r="S1" s="23">
        <v>45878</v>
      </c>
      <c r="T1" s="23">
        <v>45879</v>
      </c>
      <c r="U1" s="23">
        <v>45880</v>
      </c>
      <c r="V1" s="23">
        <v>45881</v>
      </c>
      <c r="W1" s="23">
        <v>45882</v>
      </c>
      <c r="X1" s="23">
        <v>45883</v>
      </c>
      <c r="Y1" s="23">
        <v>45884</v>
      </c>
      <c r="Z1" s="23">
        <v>45885</v>
      </c>
      <c r="AA1" s="23">
        <v>45886</v>
      </c>
      <c r="AB1" s="23">
        <v>45887</v>
      </c>
      <c r="AC1" s="23">
        <v>45888</v>
      </c>
      <c r="AD1" s="23">
        <v>45889</v>
      </c>
      <c r="AE1" s="23">
        <v>45890</v>
      </c>
      <c r="AF1" s="23">
        <v>45891</v>
      </c>
      <c r="AG1" s="23">
        <v>45892</v>
      </c>
      <c r="AH1" s="23">
        <v>45893</v>
      </c>
      <c r="AI1" s="23">
        <v>45894</v>
      </c>
      <c r="AJ1" s="23">
        <v>45895</v>
      </c>
      <c r="AK1" s="23">
        <v>45896</v>
      </c>
      <c r="AL1" s="23">
        <v>45897</v>
      </c>
      <c r="AM1" s="23">
        <v>45898</v>
      </c>
      <c r="AN1" s="23">
        <v>45899</v>
      </c>
      <c r="AO1" s="23">
        <v>45900</v>
      </c>
      <c r="AP1" s="24" t="s">
        <v>65</v>
      </c>
    </row>
    <row r="2" spans="1:42">
      <c r="A2" s="25">
        <v>60000116</v>
      </c>
      <c r="B2" s="26" t="s">
        <v>66</v>
      </c>
      <c r="C2" s="27">
        <v>45624</v>
      </c>
      <c r="D2" s="28" t="s">
        <v>67</v>
      </c>
      <c r="E2" s="29" t="s">
        <v>68</v>
      </c>
      <c r="F2" s="29">
        <v>7388558988</v>
      </c>
      <c r="G2" s="28" t="s">
        <v>69</v>
      </c>
      <c r="H2" s="28" t="s">
        <v>70</v>
      </c>
      <c r="I2" s="28" t="s">
        <v>25</v>
      </c>
      <c r="J2" s="29" t="s">
        <v>13</v>
      </c>
      <c r="K2" s="25" t="s">
        <v>34</v>
      </c>
      <c r="L2" s="25" t="s">
        <v>34</v>
      </c>
      <c r="M2" s="25" t="s">
        <v>71</v>
      </c>
      <c r="N2" s="25" t="s">
        <v>34</v>
      </c>
      <c r="O2" s="25" t="s">
        <v>34</v>
      </c>
      <c r="P2" s="25" t="s">
        <v>34</v>
      </c>
      <c r="Q2" s="25" t="s">
        <v>34</v>
      </c>
      <c r="R2" s="25" t="s">
        <v>34</v>
      </c>
      <c r="S2" s="25" t="s">
        <v>71</v>
      </c>
      <c r="T2" s="25" t="s">
        <v>71</v>
      </c>
      <c r="U2" s="25" t="s">
        <v>34</v>
      </c>
      <c r="V2" s="25" t="s">
        <v>34</v>
      </c>
      <c r="W2" s="25" t="s">
        <v>34</v>
      </c>
      <c r="X2" s="25" t="s">
        <v>34</v>
      </c>
      <c r="Y2" s="25" t="s">
        <v>71</v>
      </c>
      <c r="Z2" s="25" t="s">
        <v>34</v>
      </c>
      <c r="AA2" s="25" t="s">
        <v>71</v>
      </c>
      <c r="AB2" s="25" t="s">
        <v>34</v>
      </c>
      <c r="AC2" s="25" t="s">
        <v>34</v>
      </c>
      <c r="AD2" s="25" t="s">
        <v>34</v>
      </c>
      <c r="AE2" s="25" t="s">
        <v>34</v>
      </c>
      <c r="AF2" s="25" t="s">
        <v>34</v>
      </c>
      <c r="AG2" s="25" t="s">
        <v>34</v>
      </c>
      <c r="AH2" s="25" t="s">
        <v>34</v>
      </c>
      <c r="AI2" s="25" t="s">
        <v>34</v>
      </c>
      <c r="AJ2" s="25" t="s">
        <v>34</v>
      </c>
      <c r="AK2" s="25"/>
      <c r="AL2" s="25"/>
      <c r="AM2" s="25"/>
      <c r="AN2" s="25"/>
      <c r="AO2" s="25"/>
      <c r="AP2" s="19">
        <f>COUNTIF(K2:AO2,"p")</f>
        <v>21</v>
      </c>
    </row>
    <row r="3" spans="1:42">
      <c r="A3" s="25">
        <v>60000116</v>
      </c>
      <c r="B3" s="28" t="s">
        <v>66</v>
      </c>
      <c r="C3" s="27">
        <v>45624</v>
      </c>
      <c r="D3" s="28" t="s">
        <v>67</v>
      </c>
      <c r="E3" s="29" t="s">
        <v>68</v>
      </c>
      <c r="F3" s="29">
        <v>7388558988</v>
      </c>
      <c r="G3" s="28" t="s">
        <v>69</v>
      </c>
      <c r="H3" s="28" t="s">
        <v>70</v>
      </c>
      <c r="I3" s="28" t="s">
        <v>25</v>
      </c>
      <c r="J3" s="29" t="s">
        <v>32</v>
      </c>
      <c r="K3" s="30">
        <v>0.38194444444444442</v>
      </c>
      <c r="L3" s="30">
        <v>0.375</v>
      </c>
      <c r="M3" s="30"/>
      <c r="N3" s="30">
        <v>0.375</v>
      </c>
      <c r="O3" s="30">
        <v>0.35416666666666669</v>
      </c>
      <c r="P3" s="30">
        <v>0.39097222222222222</v>
      </c>
      <c r="Q3" s="30">
        <v>0.3888888888888889</v>
      </c>
      <c r="R3" s="30">
        <v>0.35416666666666669</v>
      </c>
      <c r="S3" s="30"/>
      <c r="T3" s="30"/>
      <c r="U3" s="30">
        <v>0.3888888888888889</v>
      </c>
      <c r="V3" s="30">
        <v>0.375</v>
      </c>
      <c r="W3" s="30">
        <v>0.375</v>
      </c>
      <c r="X3" s="30">
        <v>0.3888888888888889</v>
      </c>
      <c r="Y3" s="30"/>
      <c r="Z3" s="30">
        <v>0.37083333333333335</v>
      </c>
      <c r="AA3" s="30"/>
      <c r="AB3" s="30">
        <v>0.37847222222222227</v>
      </c>
      <c r="AC3" s="30">
        <v>0.38194444444444442</v>
      </c>
      <c r="AD3" s="30">
        <v>0.375</v>
      </c>
      <c r="AE3" s="30">
        <v>0.375</v>
      </c>
      <c r="AF3" s="30">
        <v>0.375</v>
      </c>
      <c r="AG3" s="30">
        <v>0.375</v>
      </c>
      <c r="AH3" s="30">
        <v>0.38541666666666669</v>
      </c>
      <c r="AI3" s="30">
        <v>0.39583333333333331</v>
      </c>
      <c r="AJ3" s="30">
        <v>0.375</v>
      </c>
      <c r="AK3" s="30"/>
      <c r="AL3" s="30"/>
      <c r="AM3" s="30"/>
      <c r="AN3" s="30"/>
      <c r="AO3" s="30"/>
      <c r="AP3" s="19"/>
    </row>
    <row r="4" spans="1:42">
      <c r="A4" s="25">
        <v>60000116</v>
      </c>
      <c r="B4" s="28" t="s">
        <v>66</v>
      </c>
      <c r="C4" s="27">
        <v>45624</v>
      </c>
      <c r="D4" s="28" t="s">
        <v>67</v>
      </c>
      <c r="E4" s="29" t="s">
        <v>68</v>
      </c>
      <c r="F4" s="29">
        <v>7388558988</v>
      </c>
      <c r="G4" s="28" t="s">
        <v>69</v>
      </c>
      <c r="H4" s="28" t="s">
        <v>70</v>
      </c>
      <c r="I4" s="28" t="s">
        <v>25</v>
      </c>
      <c r="J4" s="29" t="s">
        <v>33</v>
      </c>
      <c r="K4" s="30">
        <v>0.89583333333333337</v>
      </c>
      <c r="L4" s="30">
        <v>0.75</v>
      </c>
      <c r="M4" s="30"/>
      <c r="N4" s="30">
        <v>0.77430555555555547</v>
      </c>
      <c r="O4" s="30">
        <v>0.79166666666666663</v>
      </c>
      <c r="P4" s="30">
        <v>0.80555555555555547</v>
      </c>
      <c r="Q4" s="30">
        <v>0.80555555555555547</v>
      </c>
      <c r="R4" s="30">
        <v>0.79513888888888884</v>
      </c>
      <c r="S4" s="30"/>
      <c r="T4" s="30"/>
      <c r="U4" s="30">
        <v>0.85416666666666663</v>
      </c>
      <c r="V4" s="30">
        <v>0.83333333333333337</v>
      </c>
      <c r="W4" s="30">
        <v>0.83680555555555547</v>
      </c>
      <c r="X4" s="30">
        <v>0.79166666666666663</v>
      </c>
      <c r="Y4" s="30"/>
      <c r="Z4" s="30">
        <v>0.6875</v>
      </c>
      <c r="AA4" s="30"/>
      <c r="AB4" s="30">
        <v>0.83333333333333337</v>
      </c>
      <c r="AC4" s="30">
        <v>0.875</v>
      </c>
      <c r="AD4" s="30">
        <v>0.875</v>
      </c>
      <c r="AE4" s="30">
        <v>0.875</v>
      </c>
      <c r="AF4" s="30">
        <v>0.83333333333333337</v>
      </c>
      <c r="AG4" s="30">
        <v>0.875</v>
      </c>
      <c r="AH4" s="30">
        <v>0.78125</v>
      </c>
      <c r="AI4" s="30">
        <v>0.77083333333333337</v>
      </c>
      <c r="AJ4" s="25"/>
      <c r="AK4" s="30"/>
      <c r="AL4" s="30"/>
      <c r="AM4" s="30"/>
      <c r="AN4" s="30"/>
      <c r="AO4" s="30"/>
      <c r="AP4" s="19"/>
    </row>
    <row r="5" spans="1:42">
      <c r="A5" s="31">
        <v>60000116</v>
      </c>
      <c r="B5" s="32" t="s">
        <v>66</v>
      </c>
      <c r="C5" s="33">
        <v>45624</v>
      </c>
      <c r="D5" s="32" t="s">
        <v>67</v>
      </c>
      <c r="E5" s="34" t="s">
        <v>68</v>
      </c>
      <c r="F5" s="34">
        <v>7388558988</v>
      </c>
      <c r="G5" s="32" t="s">
        <v>69</v>
      </c>
      <c r="H5" s="32" t="s">
        <v>70</v>
      </c>
      <c r="I5" s="32" t="s">
        <v>25</v>
      </c>
      <c r="J5" s="34" t="s">
        <v>72</v>
      </c>
      <c r="K5" s="35">
        <f t="shared" ref="K5:AO5" si="0">IF(AND(ISBLANK(K3),ISBLANK(K4)),"A",IFERROR(+MOD(K4-K3,1),0))</f>
        <v>0.51388888888888895</v>
      </c>
      <c r="L5" s="35">
        <f t="shared" si="0"/>
        <v>0.375</v>
      </c>
      <c r="M5" s="35" t="str">
        <f t="shared" si="0"/>
        <v>A</v>
      </c>
      <c r="N5" s="35">
        <f t="shared" si="0"/>
        <v>0.39930555555555547</v>
      </c>
      <c r="O5" s="35">
        <f t="shared" si="0"/>
        <v>0.43749999999999994</v>
      </c>
      <c r="P5" s="35">
        <f t="shared" si="0"/>
        <v>0.41458333333333325</v>
      </c>
      <c r="Q5" s="35">
        <f t="shared" si="0"/>
        <v>0.41666666666666657</v>
      </c>
      <c r="R5" s="35">
        <f t="shared" si="0"/>
        <v>0.44097222222222215</v>
      </c>
      <c r="S5" s="35" t="str">
        <f t="shared" si="0"/>
        <v>A</v>
      </c>
      <c r="T5" s="35" t="str">
        <f t="shared" si="0"/>
        <v>A</v>
      </c>
      <c r="U5" s="35">
        <f t="shared" si="0"/>
        <v>0.46527777777777773</v>
      </c>
      <c r="V5" s="35">
        <f t="shared" si="0"/>
        <v>0.45833333333333337</v>
      </c>
      <c r="W5" s="35">
        <f t="shared" si="0"/>
        <v>0.46180555555555547</v>
      </c>
      <c r="X5" s="35">
        <f t="shared" si="0"/>
        <v>0.40277777777777773</v>
      </c>
      <c r="Y5" s="35" t="str">
        <f t="shared" si="0"/>
        <v>A</v>
      </c>
      <c r="Z5" s="35">
        <f t="shared" si="0"/>
        <v>0.31666666666666665</v>
      </c>
      <c r="AA5" s="35" t="str">
        <f t="shared" si="0"/>
        <v>A</v>
      </c>
      <c r="AB5" s="35">
        <f t="shared" si="0"/>
        <v>0.4548611111111111</v>
      </c>
      <c r="AC5" s="35">
        <f t="shared" si="0"/>
        <v>0.49305555555555558</v>
      </c>
      <c r="AD5" s="35">
        <f t="shared" si="0"/>
        <v>0.5</v>
      </c>
      <c r="AE5" s="35">
        <f t="shared" si="0"/>
        <v>0.5</v>
      </c>
      <c r="AF5" s="35">
        <f t="shared" si="0"/>
        <v>0.45833333333333337</v>
      </c>
      <c r="AG5" s="35">
        <f t="shared" si="0"/>
        <v>0.5</v>
      </c>
      <c r="AH5" s="35">
        <f t="shared" si="0"/>
        <v>0.39583333333333331</v>
      </c>
      <c r="AI5" s="35">
        <f t="shared" si="0"/>
        <v>0.37500000000000006</v>
      </c>
      <c r="AJ5" s="35">
        <f t="shared" si="0"/>
        <v>0.625</v>
      </c>
      <c r="AK5" s="35" t="str">
        <f t="shared" si="0"/>
        <v>A</v>
      </c>
      <c r="AL5" s="35" t="str">
        <f t="shared" si="0"/>
        <v>A</v>
      </c>
      <c r="AM5" s="35" t="str">
        <f t="shared" si="0"/>
        <v>A</v>
      </c>
      <c r="AN5" s="35" t="str">
        <f t="shared" si="0"/>
        <v>A</v>
      </c>
      <c r="AO5" s="35" t="str">
        <f t="shared" si="0"/>
        <v>A</v>
      </c>
      <c r="AP5" s="36"/>
    </row>
    <row r="6" spans="1:42">
      <c r="A6" s="25"/>
      <c r="B6" s="26"/>
      <c r="C6" s="27"/>
      <c r="D6" s="28"/>
      <c r="E6" s="29"/>
      <c r="F6" s="37"/>
      <c r="G6" s="28" t="s">
        <v>69</v>
      </c>
      <c r="H6" s="28" t="s">
        <v>73</v>
      </c>
      <c r="I6" s="28" t="s">
        <v>25</v>
      </c>
      <c r="J6" s="29" t="s">
        <v>13</v>
      </c>
      <c r="K6" s="25" t="s">
        <v>34</v>
      </c>
      <c r="L6" s="25" t="s">
        <v>34</v>
      </c>
      <c r="M6" s="25" t="s">
        <v>71</v>
      </c>
      <c r="N6" s="25" t="s">
        <v>34</v>
      </c>
      <c r="O6" s="25" t="s">
        <v>34</v>
      </c>
      <c r="P6" s="25" t="s">
        <v>34</v>
      </c>
      <c r="Q6" s="25" t="s">
        <v>34</v>
      </c>
      <c r="R6" s="25" t="s">
        <v>34</v>
      </c>
      <c r="S6" s="25" t="s">
        <v>71</v>
      </c>
      <c r="T6" s="25" t="s">
        <v>71</v>
      </c>
      <c r="U6" s="25" t="s">
        <v>34</v>
      </c>
      <c r="V6" s="25" t="s">
        <v>34</v>
      </c>
      <c r="W6" s="25" t="s">
        <v>34</v>
      </c>
      <c r="X6" s="25" t="s">
        <v>34</v>
      </c>
      <c r="Y6" s="25" t="s">
        <v>71</v>
      </c>
      <c r="Z6" s="25" t="s">
        <v>34</v>
      </c>
      <c r="AA6" s="25" t="s">
        <v>34</v>
      </c>
      <c r="AB6" s="25" t="s">
        <v>71</v>
      </c>
      <c r="AC6" s="25" t="s">
        <v>34</v>
      </c>
      <c r="AD6" s="25" t="s">
        <v>34</v>
      </c>
      <c r="AE6" s="25" t="s">
        <v>34</v>
      </c>
      <c r="AF6" s="25" t="s">
        <v>34</v>
      </c>
      <c r="AG6" s="25" t="s">
        <v>34</v>
      </c>
      <c r="AH6" s="25" t="s">
        <v>34</v>
      </c>
      <c r="AI6" s="25" t="s">
        <v>34</v>
      </c>
      <c r="AJ6" s="25" t="s">
        <v>34</v>
      </c>
      <c r="AK6" s="25"/>
      <c r="AL6" s="25"/>
      <c r="AM6" s="25"/>
      <c r="AN6" s="25"/>
      <c r="AO6" s="25"/>
      <c r="AP6" s="19">
        <f>COUNTIF(K6:AO6,"p")</f>
        <v>21</v>
      </c>
    </row>
    <row r="7" spans="1:42">
      <c r="A7" s="25"/>
      <c r="B7" s="26"/>
      <c r="C7" s="27"/>
      <c r="D7" s="28"/>
      <c r="E7" s="29"/>
      <c r="F7" s="37"/>
      <c r="G7" s="28" t="s">
        <v>69</v>
      </c>
      <c r="H7" s="28" t="s">
        <v>73</v>
      </c>
      <c r="I7" s="28" t="s">
        <v>25</v>
      </c>
      <c r="J7" s="29" t="s">
        <v>32</v>
      </c>
      <c r="K7" s="30">
        <v>0.375</v>
      </c>
      <c r="L7" s="30">
        <v>0.375</v>
      </c>
      <c r="M7" s="30"/>
      <c r="N7" s="30">
        <v>0.375</v>
      </c>
      <c r="O7" s="30">
        <v>0.33333333333333331</v>
      </c>
      <c r="P7" s="30">
        <v>0.36805555555555558</v>
      </c>
      <c r="Q7" s="30">
        <v>0.36805555555555558</v>
      </c>
      <c r="R7" s="30">
        <v>0.36805555555555558</v>
      </c>
      <c r="S7" s="30"/>
      <c r="T7" s="30"/>
      <c r="U7" s="30">
        <v>0.36805555555555558</v>
      </c>
      <c r="V7" s="30">
        <v>0.54166666666666663</v>
      </c>
      <c r="W7" s="30">
        <v>0.53819444444444442</v>
      </c>
      <c r="X7" s="30">
        <v>0.51388888888888895</v>
      </c>
      <c r="Y7" s="30"/>
      <c r="Z7" s="30">
        <v>0.375</v>
      </c>
      <c r="AA7" s="30">
        <v>0.375</v>
      </c>
      <c r="AB7" s="30"/>
      <c r="AC7" s="30">
        <v>0.54166666666666663</v>
      </c>
      <c r="AD7" s="30">
        <v>0.54166666666666663</v>
      </c>
      <c r="AE7" s="30">
        <v>0.375</v>
      </c>
      <c r="AF7" s="30">
        <v>0.54166666666666663</v>
      </c>
      <c r="AG7" s="30">
        <v>0.375</v>
      </c>
      <c r="AH7" s="30">
        <v>0.375</v>
      </c>
      <c r="AI7" s="30">
        <v>0.375</v>
      </c>
      <c r="AJ7" s="30">
        <v>0.375</v>
      </c>
      <c r="AK7" s="30"/>
      <c r="AL7" s="30"/>
      <c r="AM7" s="30"/>
      <c r="AN7" s="30"/>
      <c r="AO7" s="30"/>
      <c r="AP7" s="19"/>
    </row>
    <row r="8" spans="1:42">
      <c r="A8" s="25"/>
      <c r="B8" s="26"/>
      <c r="C8" s="27"/>
      <c r="D8" s="28"/>
      <c r="E8" s="29"/>
      <c r="F8" s="37"/>
      <c r="G8" s="28" t="s">
        <v>69</v>
      </c>
      <c r="H8" s="28" t="s">
        <v>73</v>
      </c>
      <c r="I8" s="28" t="s">
        <v>25</v>
      </c>
      <c r="J8" s="29" t="s">
        <v>33</v>
      </c>
      <c r="K8" s="30">
        <v>0.75</v>
      </c>
      <c r="L8" s="30">
        <v>0.75</v>
      </c>
      <c r="M8" s="30"/>
      <c r="N8" s="30">
        <v>0.75694444444444453</v>
      </c>
      <c r="O8" s="30">
        <v>0.79166666666666663</v>
      </c>
      <c r="P8" s="30">
        <v>0.83333333333333337</v>
      </c>
      <c r="Q8" s="30">
        <v>0.72916666666666663</v>
      </c>
      <c r="R8" s="30">
        <v>0.83333333333333337</v>
      </c>
      <c r="S8" s="30"/>
      <c r="T8" s="30"/>
      <c r="U8" s="30">
        <v>0.83333333333333337</v>
      </c>
      <c r="V8" s="30">
        <v>0.85416666666666663</v>
      </c>
      <c r="W8" s="30">
        <v>0.96527777777777779</v>
      </c>
      <c r="X8" s="30">
        <v>0.95833333333333337</v>
      </c>
      <c r="Y8" s="30"/>
      <c r="Z8" s="30">
        <v>0.60416666666666663</v>
      </c>
      <c r="AA8" s="30">
        <v>0.85416666666666663</v>
      </c>
      <c r="AB8" s="30"/>
      <c r="AC8" s="30">
        <v>0.98958333333333337</v>
      </c>
      <c r="AD8" s="30">
        <v>0.95833333333333337</v>
      </c>
      <c r="AE8" s="30">
        <v>0.77777777777777779</v>
      </c>
      <c r="AF8" s="30">
        <v>0.95833333333333337</v>
      </c>
      <c r="AG8" s="30">
        <v>0.89583333333333337</v>
      </c>
      <c r="AH8" s="30">
        <v>0.875</v>
      </c>
      <c r="AI8" s="30">
        <v>5.9027777777777783E-2</v>
      </c>
      <c r="AJ8" s="30"/>
      <c r="AK8" s="30"/>
      <c r="AL8" s="30"/>
      <c r="AM8" s="30"/>
      <c r="AN8" s="30"/>
      <c r="AO8" s="30"/>
      <c r="AP8" s="19"/>
    </row>
    <row r="9" spans="1:42">
      <c r="A9" s="31"/>
      <c r="B9" s="32"/>
      <c r="C9" s="33"/>
      <c r="D9" s="32"/>
      <c r="E9" s="34"/>
      <c r="F9" s="34"/>
      <c r="G9" s="32" t="s">
        <v>69</v>
      </c>
      <c r="H9" s="32" t="s">
        <v>73</v>
      </c>
      <c r="I9" s="32" t="s">
        <v>25</v>
      </c>
      <c r="J9" s="34" t="s">
        <v>72</v>
      </c>
      <c r="K9" s="35">
        <f t="shared" ref="K9:AO9" si="1">IF(AND(ISBLANK(K7),ISBLANK(K8)),"A",IFERROR(+MOD(K8-K7,1),0))</f>
        <v>0.375</v>
      </c>
      <c r="L9" s="35">
        <f t="shared" si="1"/>
        <v>0.375</v>
      </c>
      <c r="M9" s="35" t="str">
        <f t="shared" si="1"/>
        <v>A</v>
      </c>
      <c r="N9" s="35">
        <f t="shared" si="1"/>
        <v>0.38194444444444453</v>
      </c>
      <c r="O9" s="35">
        <f t="shared" si="1"/>
        <v>0.45833333333333331</v>
      </c>
      <c r="P9" s="35">
        <f t="shared" si="1"/>
        <v>0.46527777777777779</v>
      </c>
      <c r="Q9" s="35">
        <f t="shared" si="1"/>
        <v>0.36111111111111105</v>
      </c>
      <c r="R9" s="35">
        <f t="shared" si="1"/>
        <v>0.46527777777777779</v>
      </c>
      <c r="S9" s="35" t="str">
        <f t="shared" si="1"/>
        <v>A</v>
      </c>
      <c r="T9" s="35" t="str">
        <f t="shared" si="1"/>
        <v>A</v>
      </c>
      <c r="U9" s="35">
        <f t="shared" si="1"/>
        <v>0.46527777777777779</v>
      </c>
      <c r="V9" s="35">
        <f t="shared" si="1"/>
        <v>0.3125</v>
      </c>
      <c r="W9" s="35">
        <f t="shared" si="1"/>
        <v>0.42708333333333337</v>
      </c>
      <c r="X9" s="35">
        <f t="shared" si="1"/>
        <v>0.44444444444444442</v>
      </c>
      <c r="Y9" s="35" t="str">
        <f t="shared" si="1"/>
        <v>A</v>
      </c>
      <c r="Z9" s="35">
        <f t="shared" si="1"/>
        <v>0.22916666666666663</v>
      </c>
      <c r="AA9" s="35">
        <f t="shared" si="1"/>
        <v>0.47916666666666663</v>
      </c>
      <c r="AB9" s="35" t="str">
        <f t="shared" si="1"/>
        <v>A</v>
      </c>
      <c r="AC9" s="35">
        <f t="shared" si="1"/>
        <v>0.44791666666666674</v>
      </c>
      <c r="AD9" s="35">
        <f t="shared" si="1"/>
        <v>0.41666666666666674</v>
      </c>
      <c r="AE9" s="35">
        <f t="shared" si="1"/>
        <v>0.40277777777777779</v>
      </c>
      <c r="AF9" s="35">
        <f t="shared" si="1"/>
        <v>0.41666666666666674</v>
      </c>
      <c r="AG9" s="35">
        <f t="shared" si="1"/>
        <v>0.52083333333333337</v>
      </c>
      <c r="AH9" s="35">
        <f t="shared" si="1"/>
        <v>0.5</v>
      </c>
      <c r="AI9" s="35">
        <f t="shared" si="1"/>
        <v>0.68402777777777779</v>
      </c>
      <c r="AJ9" s="35">
        <f t="shared" si="1"/>
        <v>0.625</v>
      </c>
      <c r="AK9" s="35" t="str">
        <f t="shared" si="1"/>
        <v>A</v>
      </c>
      <c r="AL9" s="35" t="str">
        <f t="shared" si="1"/>
        <v>A</v>
      </c>
      <c r="AM9" s="35" t="str">
        <f t="shared" si="1"/>
        <v>A</v>
      </c>
      <c r="AN9" s="35" t="str">
        <f t="shared" si="1"/>
        <v>A</v>
      </c>
      <c r="AO9" s="35" t="str">
        <f t="shared" si="1"/>
        <v>A</v>
      </c>
      <c r="AP9" s="36"/>
    </row>
    <row r="10" spans="1:42">
      <c r="A10" s="25"/>
      <c r="B10" s="38"/>
      <c r="C10" s="39"/>
      <c r="D10" s="40"/>
      <c r="E10" s="41"/>
      <c r="F10" s="42"/>
      <c r="G10" s="40" t="s">
        <v>74</v>
      </c>
      <c r="H10" s="40"/>
      <c r="I10" s="40" t="s">
        <v>25</v>
      </c>
      <c r="J10" s="29" t="s">
        <v>13</v>
      </c>
      <c r="K10" s="43" t="s">
        <v>34</v>
      </c>
      <c r="L10" s="43" t="s">
        <v>34</v>
      </c>
      <c r="M10" s="43" t="s">
        <v>75</v>
      </c>
      <c r="N10" s="43" t="s">
        <v>34</v>
      </c>
      <c r="O10" s="43" t="s">
        <v>34</v>
      </c>
      <c r="P10" s="43" t="s">
        <v>34</v>
      </c>
      <c r="Q10" s="43" t="s">
        <v>71</v>
      </c>
      <c r="R10" s="43" t="s">
        <v>34</v>
      </c>
      <c r="S10" s="43" t="s">
        <v>47</v>
      </c>
      <c r="T10" s="43" t="s">
        <v>75</v>
      </c>
      <c r="U10" s="43" t="s">
        <v>34</v>
      </c>
      <c r="V10" s="43" t="s">
        <v>34</v>
      </c>
      <c r="W10" s="43" t="s">
        <v>34</v>
      </c>
      <c r="X10" s="43" t="s">
        <v>34</v>
      </c>
      <c r="Y10" s="43" t="s">
        <v>47</v>
      </c>
      <c r="Z10" s="43" t="s">
        <v>34</v>
      </c>
      <c r="AA10" s="43" t="s">
        <v>75</v>
      </c>
      <c r="AB10" s="43" t="s">
        <v>34</v>
      </c>
      <c r="AC10" s="43" t="s">
        <v>34</v>
      </c>
      <c r="AD10" s="43" t="s">
        <v>34</v>
      </c>
      <c r="AE10" s="43" t="s">
        <v>34</v>
      </c>
      <c r="AF10" s="43" t="s">
        <v>34</v>
      </c>
      <c r="AG10" s="43" t="s">
        <v>34</v>
      </c>
      <c r="AH10" s="43" t="s">
        <v>71</v>
      </c>
      <c r="AI10" s="43" t="s">
        <v>34</v>
      </c>
      <c r="AJ10" s="43" t="s">
        <v>34</v>
      </c>
      <c r="AK10" s="43"/>
      <c r="AL10" s="43"/>
      <c r="AM10" s="43"/>
      <c r="AN10" s="43"/>
      <c r="AO10" s="43"/>
      <c r="AP10" s="19">
        <f>COUNTIF(K10:AO10,"p")</f>
        <v>19</v>
      </c>
    </row>
    <row r="11" spans="1:42">
      <c r="A11" s="25"/>
      <c r="B11" s="38"/>
      <c r="C11" s="39"/>
      <c r="D11" s="40"/>
      <c r="E11" s="41"/>
      <c r="F11" s="42"/>
      <c r="G11" s="40" t="s">
        <v>74</v>
      </c>
      <c r="H11" s="40"/>
      <c r="I11" s="40" t="s">
        <v>25</v>
      </c>
      <c r="J11" s="29" t="s">
        <v>32</v>
      </c>
      <c r="K11" s="30">
        <v>0.375</v>
      </c>
      <c r="L11" s="30">
        <v>0.375</v>
      </c>
      <c r="M11" s="30"/>
      <c r="N11" s="30">
        <v>0.375</v>
      </c>
      <c r="O11" s="30">
        <v>0.33333333333333331</v>
      </c>
      <c r="P11" s="30">
        <v>0.36805555555555558</v>
      </c>
      <c r="Q11" s="30"/>
      <c r="R11" s="30">
        <v>0.375</v>
      </c>
      <c r="S11" s="30"/>
      <c r="T11" s="30"/>
      <c r="U11" s="30">
        <v>0.375</v>
      </c>
      <c r="V11" s="30">
        <v>0.375</v>
      </c>
      <c r="W11" s="30">
        <v>0.375</v>
      </c>
      <c r="X11" s="30">
        <v>0.375</v>
      </c>
      <c r="Y11" s="19"/>
      <c r="Z11" s="30">
        <v>0.375</v>
      </c>
      <c r="AA11" s="30"/>
      <c r="AB11" s="30">
        <v>0.375</v>
      </c>
      <c r="AC11" s="30">
        <v>0.375</v>
      </c>
      <c r="AD11" s="30">
        <v>0.375</v>
      </c>
      <c r="AE11" s="30">
        <v>0.375</v>
      </c>
      <c r="AF11" s="30">
        <v>0.375</v>
      </c>
      <c r="AG11" s="30">
        <v>0.375</v>
      </c>
      <c r="AH11" s="30" t="s">
        <v>71</v>
      </c>
      <c r="AI11" s="44">
        <v>0.375</v>
      </c>
      <c r="AJ11" s="44">
        <v>0.375</v>
      </c>
      <c r="AK11" s="30"/>
      <c r="AL11" s="30"/>
      <c r="AM11" s="30"/>
      <c r="AN11" s="30"/>
      <c r="AO11" s="30"/>
      <c r="AP11" s="19"/>
    </row>
    <row r="12" spans="1:42">
      <c r="A12" s="43"/>
      <c r="B12" s="38"/>
      <c r="C12" s="39"/>
      <c r="D12" s="40"/>
      <c r="E12" s="41"/>
      <c r="F12" s="42"/>
      <c r="G12" s="40" t="s">
        <v>74</v>
      </c>
      <c r="H12" s="40"/>
      <c r="I12" s="40" t="s">
        <v>25</v>
      </c>
      <c r="J12" s="29" t="s">
        <v>33</v>
      </c>
      <c r="K12" s="30">
        <v>0.75</v>
      </c>
      <c r="L12" s="30">
        <v>0.75</v>
      </c>
      <c r="M12" s="30"/>
      <c r="N12" s="30">
        <v>0.75</v>
      </c>
      <c r="O12" s="30">
        <v>0.70833333333333337</v>
      </c>
      <c r="P12" s="30">
        <v>0.75</v>
      </c>
      <c r="Q12" s="30"/>
      <c r="R12" s="30">
        <v>0.75</v>
      </c>
      <c r="S12" s="30"/>
      <c r="T12" s="30"/>
      <c r="U12" s="30">
        <v>0.75</v>
      </c>
      <c r="V12" s="30">
        <v>0.75</v>
      </c>
      <c r="W12" s="30">
        <v>0.75</v>
      </c>
      <c r="X12" s="30">
        <v>0.75</v>
      </c>
      <c r="Y12" s="19"/>
      <c r="Z12" s="30">
        <v>0.75</v>
      </c>
      <c r="AA12" s="30"/>
      <c r="AB12" s="30">
        <v>0.75</v>
      </c>
      <c r="AC12" s="30">
        <v>0.75</v>
      </c>
      <c r="AD12" s="30">
        <v>0.75</v>
      </c>
      <c r="AE12" s="30">
        <v>0.75</v>
      </c>
      <c r="AF12" s="30">
        <v>0.75</v>
      </c>
      <c r="AG12" s="30">
        <v>0.75</v>
      </c>
      <c r="AH12" s="30" t="s">
        <v>71</v>
      </c>
      <c r="AI12" s="44">
        <v>0.75</v>
      </c>
      <c r="AJ12" s="44"/>
      <c r="AK12" s="30"/>
      <c r="AL12" s="30"/>
      <c r="AM12" s="30"/>
      <c r="AN12" s="30"/>
      <c r="AO12" s="30"/>
      <c r="AP12" s="19"/>
    </row>
    <row r="13" spans="1:42">
      <c r="A13" s="45"/>
      <c r="B13" s="46"/>
      <c r="C13" s="47"/>
      <c r="D13" s="46"/>
      <c r="E13" s="48"/>
      <c r="F13" s="49"/>
      <c r="G13" s="46" t="s">
        <v>74</v>
      </c>
      <c r="H13" s="46"/>
      <c r="I13" s="46" t="s">
        <v>25</v>
      </c>
      <c r="J13" s="34" t="s">
        <v>72</v>
      </c>
      <c r="K13" s="35">
        <f t="shared" ref="K13:AO13" si="2">IF(AND(ISBLANK(K11),ISBLANK(K12)),"A",IFERROR(+MOD(K12-K11,1),0))</f>
        <v>0.375</v>
      </c>
      <c r="L13" s="35">
        <f t="shared" si="2"/>
        <v>0.375</v>
      </c>
      <c r="M13" s="35" t="str">
        <f t="shared" si="2"/>
        <v>A</v>
      </c>
      <c r="N13" s="35">
        <f t="shared" si="2"/>
        <v>0.375</v>
      </c>
      <c r="O13" s="35">
        <f t="shared" si="2"/>
        <v>0.37500000000000006</v>
      </c>
      <c r="P13" s="35">
        <f t="shared" si="2"/>
        <v>0.38194444444444442</v>
      </c>
      <c r="Q13" s="35" t="str">
        <f t="shared" si="2"/>
        <v>A</v>
      </c>
      <c r="R13" s="35">
        <f t="shared" si="2"/>
        <v>0.375</v>
      </c>
      <c r="S13" s="35" t="str">
        <f t="shared" si="2"/>
        <v>A</v>
      </c>
      <c r="T13" s="35" t="str">
        <f t="shared" si="2"/>
        <v>A</v>
      </c>
      <c r="U13" s="35">
        <f t="shared" si="2"/>
        <v>0.375</v>
      </c>
      <c r="V13" s="35">
        <f t="shared" si="2"/>
        <v>0.375</v>
      </c>
      <c r="W13" s="35">
        <f t="shared" si="2"/>
        <v>0.375</v>
      </c>
      <c r="X13" s="35">
        <f t="shared" si="2"/>
        <v>0.375</v>
      </c>
      <c r="Y13" s="35" t="str">
        <f t="shared" si="2"/>
        <v>A</v>
      </c>
      <c r="Z13" s="35">
        <f t="shared" si="2"/>
        <v>0.375</v>
      </c>
      <c r="AA13" s="35" t="str">
        <f t="shared" si="2"/>
        <v>A</v>
      </c>
      <c r="AB13" s="35">
        <f t="shared" si="2"/>
        <v>0.375</v>
      </c>
      <c r="AC13" s="35">
        <f t="shared" si="2"/>
        <v>0.375</v>
      </c>
      <c r="AD13" s="35">
        <f t="shared" si="2"/>
        <v>0.375</v>
      </c>
      <c r="AE13" s="35">
        <f t="shared" si="2"/>
        <v>0.375</v>
      </c>
      <c r="AF13" s="35">
        <f t="shared" si="2"/>
        <v>0.375</v>
      </c>
      <c r="AG13" s="35">
        <f t="shared" si="2"/>
        <v>0.375</v>
      </c>
      <c r="AH13" s="35">
        <f t="shared" si="2"/>
        <v>0</v>
      </c>
      <c r="AI13" s="35">
        <f t="shared" si="2"/>
        <v>0.375</v>
      </c>
      <c r="AJ13" s="35">
        <f t="shared" si="2"/>
        <v>0.625</v>
      </c>
      <c r="AK13" s="35" t="str">
        <f t="shared" si="2"/>
        <v>A</v>
      </c>
      <c r="AL13" s="35" t="str">
        <f t="shared" si="2"/>
        <v>A</v>
      </c>
      <c r="AM13" s="35" t="str">
        <f t="shared" si="2"/>
        <v>A</v>
      </c>
      <c r="AN13" s="35" t="str">
        <f t="shared" si="2"/>
        <v>A</v>
      </c>
      <c r="AO13" s="35" t="str">
        <f t="shared" si="2"/>
        <v>A</v>
      </c>
      <c r="AP13" s="36"/>
    </row>
    <row r="14" spans="1:42">
      <c r="A14" s="25"/>
      <c r="B14" s="38"/>
      <c r="C14" s="39"/>
      <c r="D14" s="40"/>
      <c r="E14" s="41"/>
      <c r="F14" s="42"/>
      <c r="G14" s="40" t="s">
        <v>74</v>
      </c>
      <c r="H14" s="40"/>
      <c r="I14" s="40" t="s">
        <v>25</v>
      </c>
      <c r="J14" s="29" t="s">
        <v>13</v>
      </c>
      <c r="K14" s="43" t="s">
        <v>34</v>
      </c>
      <c r="L14" s="43" t="s">
        <v>34</v>
      </c>
      <c r="M14" s="43" t="s">
        <v>75</v>
      </c>
      <c r="N14" s="43" t="s">
        <v>34</v>
      </c>
      <c r="O14" s="43" t="s">
        <v>34</v>
      </c>
      <c r="P14" s="43" t="s">
        <v>34</v>
      </c>
      <c r="Q14" s="43" t="s">
        <v>34</v>
      </c>
      <c r="R14" s="43" t="s">
        <v>71</v>
      </c>
      <c r="S14" s="43" t="s">
        <v>47</v>
      </c>
      <c r="T14" s="43" t="s">
        <v>75</v>
      </c>
      <c r="U14" s="43" t="s">
        <v>34</v>
      </c>
      <c r="V14" s="43" t="s">
        <v>34</v>
      </c>
      <c r="W14" s="43" t="s">
        <v>34</v>
      </c>
      <c r="X14" s="43" t="s">
        <v>34</v>
      </c>
      <c r="Y14" s="43" t="s">
        <v>47</v>
      </c>
      <c r="Z14" s="43" t="s">
        <v>71</v>
      </c>
      <c r="AA14" s="43" t="s">
        <v>34</v>
      </c>
      <c r="AB14" s="43" t="s">
        <v>34</v>
      </c>
      <c r="AC14" s="43" t="s">
        <v>34</v>
      </c>
      <c r="AD14" s="43" t="s">
        <v>34</v>
      </c>
      <c r="AE14" s="43" t="s">
        <v>34</v>
      </c>
      <c r="AF14" s="43" t="s">
        <v>71</v>
      </c>
      <c r="AG14" s="43" t="s">
        <v>34</v>
      </c>
      <c r="AH14" s="43" t="s">
        <v>34</v>
      </c>
      <c r="AI14" s="43" t="s">
        <v>34</v>
      </c>
      <c r="AJ14" s="43" t="s">
        <v>34</v>
      </c>
      <c r="AK14" s="43"/>
      <c r="AL14" s="43"/>
      <c r="AM14" s="43"/>
      <c r="AN14" s="43"/>
      <c r="AO14" s="43"/>
      <c r="AP14" s="19">
        <f>COUNTIF(K14:AO14,"p")</f>
        <v>19</v>
      </c>
    </row>
    <row r="15" spans="1:42">
      <c r="A15" s="25"/>
      <c r="B15" s="40"/>
      <c r="C15" s="39"/>
      <c r="D15" s="40"/>
      <c r="E15" s="41"/>
      <c r="F15" s="42"/>
      <c r="G15" s="40" t="s">
        <v>74</v>
      </c>
      <c r="H15" s="40"/>
      <c r="I15" s="40" t="s">
        <v>25</v>
      </c>
      <c r="J15" s="29" t="s">
        <v>32</v>
      </c>
      <c r="K15" s="30">
        <v>0.375</v>
      </c>
      <c r="L15" s="30">
        <v>0.375</v>
      </c>
      <c r="M15" s="30"/>
      <c r="N15" s="30">
        <v>0.375</v>
      </c>
      <c r="O15" s="30">
        <v>0.34722222222222227</v>
      </c>
      <c r="P15" s="30">
        <v>0.36805555555555558</v>
      </c>
      <c r="Q15" s="30">
        <v>0.36805555555555558</v>
      </c>
      <c r="R15" s="30"/>
      <c r="S15" s="30"/>
      <c r="T15" s="30"/>
      <c r="U15" s="30">
        <v>0.37152777777777773</v>
      </c>
      <c r="V15" s="30">
        <v>0.375</v>
      </c>
      <c r="W15" s="30">
        <v>0.375</v>
      </c>
      <c r="X15" s="30">
        <v>0.375</v>
      </c>
      <c r="Y15" s="30"/>
      <c r="Z15" s="30"/>
      <c r="AA15" s="30">
        <v>0.41319444444444442</v>
      </c>
      <c r="AB15" s="30">
        <v>0.37847222222222227</v>
      </c>
      <c r="AC15" s="30">
        <v>0.375</v>
      </c>
      <c r="AD15" s="30">
        <v>0.375</v>
      </c>
      <c r="AE15" s="30">
        <v>0.375</v>
      </c>
      <c r="AF15" s="19"/>
      <c r="AG15" s="30">
        <v>0.375</v>
      </c>
      <c r="AH15" s="30">
        <v>0.375</v>
      </c>
      <c r="AI15" s="30">
        <v>0.375</v>
      </c>
      <c r="AJ15" s="44">
        <v>0.375</v>
      </c>
      <c r="AK15" s="30"/>
      <c r="AL15" s="30"/>
      <c r="AM15" s="30"/>
      <c r="AN15" s="30"/>
      <c r="AO15" s="30"/>
      <c r="AP15" s="19"/>
    </row>
    <row r="16" spans="1:42">
      <c r="A16" s="25"/>
      <c r="B16" s="40"/>
      <c r="C16" s="39"/>
      <c r="D16" s="40"/>
      <c r="E16" s="41"/>
      <c r="F16" s="42"/>
      <c r="G16" s="40" t="s">
        <v>74</v>
      </c>
      <c r="H16" s="40"/>
      <c r="I16" s="40" t="s">
        <v>25</v>
      </c>
      <c r="J16" s="29" t="s">
        <v>33</v>
      </c>
      <c r="K16" s="30">
        <v>0.75</v>
      </c>
      <c r="L16" s="30">
        <v>0.75</v>
      </c>
      <c r="M16" s="30"/>
      <c r="N16" s="30">
        <v>0.75</v>
      </c>
      <c r="O16" s="30">
        <v>0.70833333333333337</v>
      </c>
      <c r="P16" s="30">
        <v>0.75</v>
      </c>
      <c r="Q16" s="30">
        <v>0.75</v>
      </c>
      <c r="R16" s="30"/>
      <c r="S16" s="30"/>
      <c r="T16" s="30"/>
      <c r="U16" s="30">
        <v>0.75</v>
      </c>
      <c r="V16" s="30">
        <v>0.75</v>
      </c>
      <c r="W16" s="30">
        <v>0.75</v>
      </c>
      <c r="X16" s="30">
        <v>0.75</v>
      </c>
      <c r="Y16" s="30"/>
      <c r="Z16" s="30"/>
      <c r="AA16" s="30">
        <v>0.58333333333333337</v>
      </c>
      <c r="AB16" s="30">
        <v>0.75</v>
      </c>
      <c r="AC16" s="30">
        <v>0.75</v>
      </c>
      <c r="AD16" s="30">
        <v>0.75</v>
      </c>
      <c r="AE16" s="30">
        <v>0.75</v>
      </c>
      <c r="AF16" s="19"/>
      <c r="AG16" s="30">
        <v>0.75</v>
      </c>
      <c r="AH16" s="30">
        <v>0.75</v>
      </c>
      <c r="AI16" s="30">
        <v>0.75</v>
      </c>
      <c r="AJ16" s="50"/>
      <c r="AK16" s="30"/>
      <c r="AL16" s="30"/>
      <c r="AM16" s="30"/>
      <c r="AN16" s="30"/>
      <c r="AO16" s="30"/>
      <c r="AP16" s="19"/>
    </row>
    <row r="17" spans="1:42">
      <c r="A17" s="45"/>
      <c r="B17" s="46"/>
      <c r="C17" s="47"/>
      <c r="D17" s="46"/>
      <c r="E17" s="48"/>
      <c r="F17" s="49"/>
      <c r="G17" s="46" t="s">
        <v>74</v>
      </c>
      <c r="H17" s="46"/>
      <c r="I17" s="46" t="s">
        <v>25</v>
      </c>
      <c r="J17" s="34" t="s">
        <v>72</v>
      </c>
      <c r="K17" s="35">
        <f t="shared" ref="K17:AO17" si="3">IF(AND(ISBLANK(K15),ISBLANK(K16)),"A",IFERROR(+MOD(K16-K15,1),0))</f>
        <v>0.375</v>
      </c>
      <c r="L17" s="35">
        <f t="shared" si="3"/>
        <v>0.375</v>
      </c>
      <c r="M17" s="35" t="str">
        <f t="shared" si="3"/>
        <v>A</v>
      </c>
      <c r="N17" s="35">
        <f t="shared" si="3"/>
        <v>0.375</v>
      </c>
      <c r="O17" s="35">
        <f t="shared" si="3"/>
        <v>0.3611111111111111</v>
      </c>
      <c r="P17" s="35">
        <f t="shared" si="3"/>
        <v>0.38194444444444442</v>
      </c>
      <c r="Q17" s="35">
        <f t="shared" si="3"/>
        <v>0.38194444444444442</v>
      </c>
      <c r="R17" s="35" t="str">
        <f t="shared" si="3"/>
        <v>A</v>
      </c>
      <c r="S17" s="35" t="str">
        <f t="shared" si="3"/>
        <v>A</v>
      </c>
      <c r="T17" s="35" t="str">
        <f t="shared" si="3"/>
        <v>A</v>
      </c>
      <c r="U17" s="35">
        <f t="shared" si="3"/>
        <v>0.37847222222222227</v>
      </c>
      <c r="V17" s="35">
        <f t="shared" si="3"/>
        <v>0.375</v>
      </c>
      <c r="W17" s="35">
        <f t="shared" si="3"/>
        <v>0.375</v>
      </c>
      <c r="X17" s="35">
        <f t="shared" si="3"/>
        <v>0.375</v>
      </c>
      <c r="Y17" s="35" t="str">
        <f t="shared" si="3"/>
        <v>A</v>
      </c>
      <c r="Z17" s="35" t="str">
        <f t="shared" si="3"/>
        <v>A</v>
      </c>
      <c r="AA17" s="35">
        <f t="shared" si="3"/>
        <v>0.17013888888888895</v>
      </c>
      <c r="AB17" s="35">
        <f t="shared" si="3"/>
        <v>0.37152777777777773</v>
      </c>
      <c r="AC17" s="35">
        <f t="shared" si="3"/>
        <v>0.375</v>
      </c>
      <c r="AD17" s="35">
        <f t="shared" si="3"/>
        <v>0.375</v>
      </c>
      <c r="AE17" s="35">
        <f t="shared" si="3"/>
        <v>0.375</v>
      </c>
      <c r="AF17" s="35" t="str">
        <f t="shared" si="3"/>
        <v>A</v>
      </c>
      <c r="AG17" s="35">
        <f t="shared" si="3"/>
        <v>0.375</v>
      </c>
      <c r="AH17" s="35">
        <f t="shared" si="3"/>
        <v>0.375</v>
      </c>
      <c r="AI17" s="35">
        <f t="shared" si="3"/>
        <v>0.375</v>
      </c>
      <c r="AJ17" s="35">
        <f t="shared" si="3"/>
        <v>0.625</v>
      </c>
      <c r="AK17" s="35" t="str">
        <f t="shared" si="3"/>
        <v>A</v>
      </c>
      <c r="AL17" s="35" t="str">
        <f t="shared" si="3"/>
        <v>A</v>
      </c>
      <c r="AM17" s="35" t="str">
        <f t="shared" si="3"/>
        <v>A</v>
      </c>
      <c r="AN17" s="35" t="str">
        <f t="shared" si="3"/>
        <v>A</v>
      </c>
      <c r="AO17" s="35" t="str">
        <f t="shared" si="3"/>
        <v>A</v>
      </c>
      <c r="AP17" s="36"/>
    </row>
    <row r="18" spans="1:42">
      <c r="A18" s="25"/>
      <c r="B18" s="26"/>
      <c r="C18" s="39"/>
      <c r="D18" s="28"/>
      <c r="E18" s="28"/>
      <c r="F18" s="28"/>
      <c r="G18" s="28" t="s">
        <v>74</v>
      </c>
      <c r="H18" s="51"/>
      <c r="I18" s="28" t="s">
        <v>25</v>
      </c>
      <c r="J18" s="29" t="s">
        <v>13</v>
      </c>
      <c r="K18" s="43" t="s">
        <v>34</v>
      </c>
      <c r="L18" s="43" t="s">
        <v>34</v>
      </c>
      <c r="M18" s="43" t="s">
        <v>71</v>
      </c>
      <c r="N18" s="43" t="s">
        <v>34</v>
      </c>
      <c r="O18" s="43" t="s">
        <v>34</v>
      </c>
      <c r="P18" s="43" t="s">
        <v>71</v>
      </c>
      <c r="Q18" s="43" t="s">
        <v>34</v>
      </c>
      <c r="R18" s="43" t="s">
        <v>34</v>
      </c>
      <c r="S18" s="43" t="s">
        <v>71</v>
      </c>
      <c r="T18" s="43" t="s">
        <v>71</v>
      </c>
      <c r="U18" s="43" t="s">
        <v>34</v>
      </c>
      <c r="V18" s="43" t="s">
        <v>34</v>
      </c>
      <c r="W18" s="43" t="s">
        <v>34</v>
      </c>
      <c r="X18" s="43" t="s">
        <v>71</v>
      </c>
      <c r="Y18" s="25" t="s">
        <v>47</v>
      </c>
      <c r="Z18" s="25" t="s">
        <v>71</v>
      </c>
      <c r="AA18" s="25" t="s">
        <v>71</v>
      </c>
      <c r="AB18" s="25" t="s">
        <v>71</v>
      </c>
      <c r="AC18" s="25" t="s">
        <v>34</v>
      </c>
      <c r="AD18" s="25" t="s">
        <v>34</v>
      </c>
      <c r="AE18" s="25" t="s">
        <v>34</v>
      </c>
      <c r="AF18" s="25" t="s">
        <v>34</v>
      </c>
      <c r="AG18" s="25" t="s">
        <v>71</v>
      </c>
      <c r="AH18" s="25" t="s">
        <v>71</v>
      </c>
      <c r="AI18" s="43" t="s">
        <v>34</v>
      </c>
      <c r="AJ18" s="43" t="s">
        <v>34</v>
      </c>
      <c r="AK18" s="25"/>
      <c r="AL18" s="25"/>
      <c r="AM18" s="25"/>
      <c r="AN18" s="25"/>
      <c r="AO18" s="52"/>
      <c r="AP18" s="19">
        <f>COUNTIF(K18:AO18,"p")</f>
        <v>15</v>
      </c>
    </row>
    <row r="19" spans="1:42">
      <c r="A19" s="25"/>
      <c r="B19" s="28"/>
      <c r="C19" s="39"/>
      <c r="D19" s="28"/>
      <c r="E19" s="28"/>
      <c r="F19" s="28"/>
      <c r="G19" s="28" t="s">
        <v>74</v>
      </c>
      <c r="H19" s="51"/>
      <c r="I19" s="28" t="s">
        <v>25</v>
      </c>
      <c r="J19" s="29" t="s">
        <v>32</v>
      </c>
      <c r="K19" s="30">
        <v>0.375</v>
      </c>
      <c r="L19" s="30">
        <v>0.375</v>
      </c>
      <c r="M19" s="30"/>
      <c r="N19" s="30">
        <v>0.375</v>
      </c>
      <c r="O19" s="30">
        <v>0.33333333333333331</v>
      </c>
      <c r="P19" s="30"/>
      <c r="Q19" s="30">
        <v>0.36805555555555558</v>
      </c>
      <c r="R19" s="30">
        <v>0.37777777777777777</v>
      </c>
      <c r="S19" s="30"/>
      <c r="T19" s="30"/>
      <c r="U19" s="30">
        <v>0.37847222222222227</v>
      </c>
      <c r="V19" s="30">
        <v>0.375</v>
      </c>
      <c r="W19" s="30">
        <v>0.375</v>
      </c>
      <c r="X19" s="30"/>
      <c r="Y19" s="30"/>
      <c r="Z19" s="30"/>
      <c r="AA19" s="30"/>
      <c r="AB19" s="30"/>
      <c r="AC19" s="30">
        <v>0.375</v>
      </c>
      <c r="AD19" s="30">
        <v>0.375</v>
      </c>
      <c r="AE19" s="30">
        <v>0.375</v>
      </c>
      <c r="AF19" s="30">
        <v>0.375</v>
      </c>
      <c r="AG19" s="30" t="s">
        <v>71</v>
      </c>
      <c r="AH19" s="30" t="s">
        <v>71</v>
      </c>
      <c r="AI19" s="30">
        <v>0.375</v>
      </c>
      <c r="AJ19" s="44">
        <v>0.375</v>
      </c>
      <c r="AK19" s="30"/>
      <c r="AL19" s="30"/>
      <c r="AM19" s="19"/>
      <c r="AN19" s="30"/>
      <c r="AO19" s="52"/>
      <c r="AP19" s="19"/>
    </row>
    <row r="20" spans="1:42">
      <c r="A20" s="25"/>
      <c r="B20" s="28"/>
      <c r="C20" s="39"/>
      <c r="D20" s="28"/>
      <c r="E20" s="28"/>
      <c r="F20" s="28"/>
      <c r="G20" s="28" t="s">
        <v>74</v>
      </c>
      <c r="H20" s="51"/>
      <c r="I20" s="28" t="s">
        <v>25</v>
      </c>
      <c r="J20" s="29" t="s">
        <v>33</v>
      </c>
      <c r="K20" s="30">
        <v>0.75</v>
      </c>
      <c r="L20" s="30">
        <v>0.75</v>
      </c>
      <c r="M20" s="30"/>
      <c r="N20" s="30">
        <v>0.75</v>
      </c>
      <c r="O20" s="30">
        <v>0.70833333333333337</v>
      </c>
      <c r="P20" s="30"/>
      <c r="Q20" s="30">
        <v>0.75</v>
      </c>
      <c r="R20" s="30">
        <v>0.75</v>
      </c>
      <c r="S20" s="30"/>
      <c r="T20" s="30"/>
      <c r="U20" s="30">
        <v>0.75</v>
      </c>
      <c r="V20" s="30">
        <v>0.75</v>
      </c>
      <c r="W20" s="30">
        <v>0.75</v>
      </c>
      <c r="X20" s="30"/>
      <c r="Y20" s="30"/>
      <c r="Z20" s="30"/>
      <c r="AA20" s="30"/>
      <c r="AB20" s="30"/>
      <c r="AC20" s="30">
        <v>0.75</v>
      </c>
      <c r="AD20" s="30">
        <v>0.75</v>
      </c>
      <c r="AE20" s="30">
        <v>0.75</v>
      </c>
      <c r="AF20" s="30">
        <v>0.75</v>
      </c>
      <c r="AG20" s="30" t="s">
        <v>71</v>
      </c>
      <c r="AH20" s="30" t="s">
        <v>71</v>
      </c>
      <c r="AI20" s="30">
        <v>0.75</v>
      </c>
      <c r="AJ20" s="30"/>
      <c r="AK20" s="30"/>
      <c r="AL20" s="30"/>
      <c r="AM20" s="19"/>
      <c r="AN20" s="30"/>
      <c r="AO20" s="30"/>
      <c r="AP20" s="19"/>
    </row>
    <row r="21" spans="1:42">
      <c r="A21" s="45"/>
      <c r="B21" s="32"/>
      <c r="C21" s="47"/>
      <c r="D21" s="32"/>
      <c r="E21" s="32"/>
      <c r="F21" s="32"/>
      <c r="G21" s="32" t="s">
        <v>74</v>
      </c>
      <c r="H21" s="53"/>
      <c r="I21" s="32" t="s">
        <v>25</v>
      </c>
      <c r="J21" s="34" t="s">
        <v>72</v>
      </c>
      <c r="K21" s="35">
        <f t="shared" ref="K21:AO21" si="4">IF(AND(ISBLANK(K19),ISBLANK(K20)),"A",IFERROR(+MOD(K20-K19,1),0))</f>
        <v>0.375</v>
      </c>
      <c r="L21" s="35">
        <f t="shared" si="4"/>
        <v>0.375</v>
      </c>
      <c r="M21" s="35" t="str">
        <f t="shared" si="4"/>
        <v>A</v>
      </c>
      <c r="N21" s="35">
        <f t="shared" si="4"/>
        <v>0.375</v>
      </c>
      <c r="O21" s="35">
        <f t="shared" si="4"/>
        <v>0.37500000000000006</v>
      </c>
      <c r="P21" s="35" t="str">
        <f t="shared" si="4"/>
        <v>A</v>
      </c>
      <c r="Q21" s="35">
        <f t="shared" si="4"/>
        <v>0.38194444444444442</v>
      </c>
      <c r="R21" s="35">
        <f t="shared" si="4"/>
        <v>0.37222222222222223</v>
      </c>
      <c r="S21" s="35" t="str">
        <f t="shared" si="4"/>
        <v>A</v>
      </c>
      <c r="T21" s="35" t="str">
        <f t="shared" si="4"/>
        <v>A</v>
      </c>
      <c r="U21" s="35">
        <f t="shared" si="4"/>
        <v>0.37152777777777773</v>
      </c>
      <c r="V21" s="35">
        <f t="shared" si="4"/>
        <v>0.375</v>
      </c>
      <c r="W21" s="35">
        <f t="shared" si="4"/>
        <v>0.375</v>
      </c>
      <c r="X21" s="35" t="str">
        <f t="shared" si="4"/>
        <v>A</v>
      </c>
      <c r="Y21" s="35" t="str">
        <f t="shared" si="4"/>
        <v>A</v>
      </c>
      <c r="Z21" s="35" t="str">
        <f t="shared" si="4"/>
        <v>A</v>
      </c>
      <c r="AA21" s="35" t="str">
        <f t="shared" si="4"/>
        <v>A</v>
      </c>
      <c r="AB21" s="35" t="str">
        <f t="shared" si="4"/>
        <v>A</v>
      </c>
      <c r="AC21" s="35">
        <f t="shared" si="4"/>
        <v>0.375</v>
      </c>
      <c r="AD21" s="35">
        <f t="shared" si="4"/>
        <v>0.375</v>
      </c>
      <c r="AE21" s="35">
        <f t="shared" si="4"/>
        <v>0.375</v>
      </c>
      <c r="AF21" s="35">
        <f t="shared" si="4"/>
        <v>0.375</v>
      </c>
      <c r="AG21" s="35" t="s">
        <v>71</v>
      </c>
      <c r="AH21" s="35" t="s">
        <v>71</v>
      </c>
      <c r="AI21" s="35">
        <f t="shared" si="4"/>
        <v>0.375</v>
      </c>
      <c r="AJ21" s="35">
        <f t="shared" si="4"/>
        <v>0.625</v>
      </c>
      <c r="AK21" s="35" t="str">
        <f t="shared" si="4"/>
        <v>A</v>
      </c>
      <c r="AL21" s="35" t="str">
        <f t="shared" si="4"/>
        <v>A</v>
      </c>
      <c r="AM21" s="35" t="str">
        <f t="shared" si="4"/>
        <v>A</v>
      </c>
      <c r="AN21" s="35" t="str">
        <f t="shared" si="4"/>
        <v>A</v>
      </c>
      <c r="AO21" s="35" t="str">
        <f t="shared" si="4"/>
        <v>A</v>
      </c>
      <c r="AP21" s="36"/>
    </row>
    <row r="22" spans="1:42">
      <c r="A22" s="25"/>
      <c r="B22" s="26"/>
      <c r="C22" s="39"/>
      <c r="D22" s="28"/>
      <c r="E22" s="28"/>
      <c r="F22" s="28"/>
      <c r="G22" s="28" t="s">
        <v>74</v>
      </c>
      <c r="H22" s="51" t="s">
        <v>76</v>
      </c>
      <c r="I22" s="28" t="s">
        <v>25</v>
      </c>
      <c r="J22" s="29" t="s">
        <v>13</v>
      </c>
      <c r="K22" s="25" t="s">
        <v>34</v>
      </c>
      <c r="L22" s="25" t="s">
        <v>34</v>
      </c>
      <c r="M22" s="25" t="s">
        <v>75</v>
      </c>
      <c r="N22" s="25" t="s">
        <v>34</v>
      </c>
      <c r="O22" s="25" t="s">
        <v>34</v>
      </c>
      <c r="P22" s="25" t="s">
        <v>34</v>
      </c>
      <c r="Q22" s="25" t="s">
        <v>34</v>
      </c>
      <c r="R22" s="25" t="s">
        <v>34</v>
      </c>
      <c r="S22" s="25" t="s">
        <v>34</v>
      </c>
      <c r="T22" s="54" t="s">
        <v>75</v>
      </c>
      <c r="U22" s="54" t="s">
        <v>34</v>
      </c>
      <c r="V22" s="25" t="s">
        <v>71</v>
      </c>
      <c r="W22" s="25" t="s">
        <v>34</v>
      </c>
      <c r="X22" s="25" t="s">
        <v>34</v>
      </c>
      <c r="Y22" s="25" t="s">
        <v>47</v>
      </c>
      <c r="Z22" s="25" t="s">
        <v>34</v>
      </c>
      <c r="AA22" s="25" t="s">
        <v>34</v>
      </c>
      <c r="AB22" s="25" t="s">
        <v>34</v>
      </c>
      <c r="AC22" s="25" t="s">
        <v>34</v>
      </c>
      <c r="AD22" s="25" t="s">
        <v>34</v>
      </c>
      <c r="AE22" s="25" t="s">
        <v>34</v>
      </c>
      <c r="AF22" s="25" t="s">
        <v>71</v>
      </c>
      <c r="AG22" s="25" t="s">
        <v>34</v>
      </c>
      <c r="AH22" s="25" t="s">
        <v>34</v>
      </c>
      <c r="AI22" s="25" t="s">
        <v>34</v>
      </c>
      <c r="AJ22" s="43" t="s">
        <v>34</v>
      </c>
      <c r="AK22" s="25"/>
      <c r="AL22" s="25"/>
      <c r="AM22" s="25"/>
      <c r="AN22" s="25"/>
      <c r="AO22" s="25"/>
      <c r="AP22" s="19">
        <f>COUNTIF(K22:AO22,"p")</f>
        <v>21</v>
      </c>
    </row>
    <row r="23" spans="1:42">
      <c r="A23" s="25"/>
      <c r="B23" s="26"/>
      <c r="C23" s="39"/>
      <c r="D23" s="28"/>
      <c r="E23" s="28"/>
      <c r="F23" s="28"/>
      <c r="G23" s="28" t="s">
        <v>74</v>
      </c>
      <c r="H23" s="51" t="s">
        <v>76</v>
      </c>
      <c r="I23" s="28" t="s">
        <v>25</v>
      </c>
      <c r="J23" s="29" t="s">
        <v>32</v>
      </c>
      <c r="K23" s="30">
        <v>0.375</v>
      </c>
      <c r="L23" s="30">
        <v>0.375</v>
      </c>
      <c r="M23" s="30"/>
      <c r="N23" s="30">
        <v>0.375</v>
      </c>
      <c r="O23" s="30">
        <v>0.37152777777777773</v>
      </c>
      <c r="P23" s="30">
        <v>0.375</v>
      </c>
      <c r="Q23" s="30">
        <v>0.81597222222222221</v>
      </c>
      <c r="R23" s="30">
        <v>0.79166666666666663</v>
      </c>
      <c r="S23" s="30">
        <v>0.80347222222222225</v>
      </c>
      <c r="T23" s="55"/>
      <c r="U23" s="55">
        <v>0.79166666666666663</v>
      </c>
      <c r="V23" s="30"/>
      <c r="W23" s="30">
        <v>0.375</v>
      </c>
      <c r="X23" s="30">
        <v>0.38194444444444442</v>
      </c>
      <c r="Y23" s="30"/>
      <c r="Z23" s="30">
        <v>0.375</v>
      </c>
      <c r="AA23" s="30">
        <v>0.375</v>
      </c>
      <c r="AB23" s="30">
        <v>0.375</v>
      </c>
      <c r="AC23" s="30">
        <v>0.375</v>
      </c>
      <c r="AD23" s="30">
        <v>0.375</v>
      </c>
      <c r="AE23" s="30">
        <v>0.375</v>
      </c>
      <c r="AF23" s="19" t="s">
        <v>71</v>
      </c>
      <c r="AG23" s="30">
        <v>0.375</v>
      </c>
      <c r="AH23" s="52">
        <v>0.375</v>
      </c>
      <c r="AI23" s="52">
        <v>0.375</v>
      </c>
      <c r="AJ23" s="44">
        <v>0.375</v>
      </c>
      <c r="AK23" s="19"/>
      <c r="AL23" s="30"/>
      <c r="AM23" s="30"/>
      <c r="AN23" s="19"/>
      <c r="AO23" s="30"/>
      <c r="AP23" s="19"/>
    </row>
    <row r="24" spans="1:42">
      <c r="A24" s="25"/>
      <c r="B24" s="26"/>
      <c r="C24" s="39"/>
      <c r="D24" s="28"/>
      <c r="E24" s="28"/>
      <c r="F24" s="28"/>
      <c r="G24" s="28" t="s">
        <v>74</v>
      </c>
      <c r="H24" s="51" t="s">
        <v>76</v>
      </c>
      <c r="I24" s="28" t="s">
        <v>25</v>
      </c>
      <c r="J24" s="29" t="s">
        <v>33</v>
      </c>
      <c r="K24" s="30">
        <v>0.83333333333333337</v>
      </c>
      <c r="L24" s="30">
        <v>0.75</v>
      </c>
      <c r="M24" s="30"/>
      <c r="N24" s="30">
        <v>0.81597222222222221</v>
      </c>
      <c r="O24" s="30">
        <v>0.76388888888888884</v>
      </c>
      <c r="P24" s="30">
        <v>0.79166666666666663</v>
      </c>
      <c r="Q24" s="30">
        <v>0.16666666666666666</v>
      </c>
      <c r="R24" s="30">
        <v>0.16666666666666666</v>
      </c>
      <c r="S24" s="30">
        <v>0.16666666666666666</v>
      </c>
      <c r="T24" s="55"/>
      <c r="U24" s="55">
        <v>0.16666666666666666</v>
      </c>
      <c r="V24" s="30"/>
      <c r="W24" s="30">
        <v>0.83333333333333337</v>
      </c>
      <c r="X24" s="30">
        <v>0.75</v>
      </c>
      <c r="Y24" s="30"/>
      <c r="Z24" s="30">
        <v>0.83333333333333337</v>
      </c>
      <c r="AA24" s="30">
        <v>0.75</v>
      </c>
      <c r="AB24" s="30">
        <v>0.75</v>
      </c>
      <c r="AC24" s="30">
        <v>0.85416666666666663</v>
      </c>
      <c r="AD24" s="30">
        <v>0.83333333333333337</v>
      </c>
      <c r="AE24" s="30">
        <v>0.875</v>
      </c>
      <c r="AF24" s="19" t="s">
        <v>71</v>
      </c>
      <c r="AG24" s="30">
        <v>0.83333333333333337</v>
      </c>
      <c r="AH24" s="52">
        <v>0.79166666666666663</v>
      </c>
      <c r="AI24" s="52">
        <v>0.79166666666666663</v>
      </c>
      <c r="AJ24" s="30"/>
      <c r="AK24" s="19"/>
      <c r="AL24" s="30"/>
      <c r="AM24" s="30"/>
      <c r="AN24" s="19"/>
      <c r="AO24" s="30"/>
      <c r="AP24" s="19"/>
    </row>
    <row r="25" spans="1:42">
      <c r="A25" s="45"/>
      <c r="B25" s="32"/>
      <c r="C25" s="47"/>
      <c r="D25" s="32"/>
      <c r="E25" s="32"/>
      <c r="F25" s="32"/>
      <c r="G25" s="32" t="s">
        <v>74</v>
      </c>
      <c r="H25" s="53" t="s">
        <v>76</v>
      </c>
      <c r="I25" s="32" t="s">
        <v>25</v>
      </c>
      <c r="J25" s="34" t="s">
        <v>72</v>
      </c>
      <c r="K25" s="35">
        <f t="shared" ref="K25:AO25" si="5">IF(AND(ISBLANK(K23),ISBLANK(K24)),"A",IFERROR(+MOD(K24-K23,1),0))</f>
        <v>0.45833333333333337</v>
      </c>
      <c r="L25" s="35">
        <f t="shared" si="5"/>
        <v>0.375</v>
      </c>
      <c r="M25" s="35" t="str">
        <f t="shared" si="5"/>
        <v>A</v>
      </c>
      <c r="N25" s="35">
        <f t="shared" si="5"/>
        <v>0.44097222222222221</v>
      </c>
      <c r="O25" s="35">
        <f t="shared" si="5"/>
        <v>0.3923611111111111</v>
      </c>
      <c r="P25" s="35">
        <f t="shared" si="5"/>
        <v>0.41666666666666663</v>
      </c>
      <c r="Q25" s="35">
        <f t="shared" si="5"/>
        <v>0.35069444444444442</v>
      </c>
      <c r="R25" s="35">
        <f t="shared" si="5"/>
        <v>0.375</v>
      </c>
      <c r="S25" s="35">
        <f t="shared" si="5"/>
        <v>0.36319444444444438</v>
      </c>
      <c r="T25" s="35" t="str">
        <f t="shared" si="5"/>
        <v>A</v>
      </c>
      <c r="U25" s="35">
        <f t="shared" si="5"/>
        <v>0.375</v>
      </c>
      <c r="V25" s="35" t="str">
        <f t="shared" si="5"/>
        <v>A</v>
      </c>
      <c r="W25" s="35">
        <f t="shared" si="5"/>
        <v>0.45833333333333337</v>
      </c>
      <c r="X25" s="35">
        <f t="shared" si="5"/>
        <v>0.36805555555555558</v>
      </c>
      <c r="Y25" s="35" t="str">
        <f t="shared" si="5"/>
        <v>A</v>
      </c>
      <c r="Z25" s="35">
        <f t="shared" si="5"/>
        <v>0.45833333333333337</v>
      </c>
      <c r="AA25" s="35">
        <f t="shared" si="5"/>
        <v>0.375</v>
      </c>
      <c r="AB25" s="35">
        <f t="shared" si="5"/>
        <v>0.375</v>
      </c>
      <c r="AC25" s="35">
        <f t="shared" si="5"/>
        <v>0.47916666666666663</v>
      </c>
      <c r="AD25" s="35">
        <f t="shared" si="5"/>
        <v>0.45833333333333337</v>
      </c>
      <c r="AE25" s="35">
        <f t="shared" si="5"/>
        <v>0.5</v>
      </c>
      <c r="AF25" s="35">
        <f t="shared" si="5"/>
        <v>0</v>
      </c>
      <c r="AG25" s="35">
        <f t="shared" si="5"/>
        <v>0.45833333333333337</v>
      </c>
      <c r="AH25" s="35">
        <f t="shared" si="5"/>
        <v>0.41666666666666663</v>
      </c>
      <c r="AI25" s="35">
        <f t="shared" si="5"/>
        <v>0.41666666666666663</v>
      </c>
      <c r="AJ25" s="35">
        <f t="shared" si="5"/>
        <v>0.625</v>
      </c>
      <c r="AK25" s="35" t="str">
        <f t="shared" si="5"/>
        <v>A</v>
      </c>
      <c r="AL25" s="35" t="str">
        <f t="shared" si="5"/>
        <v>A</v>
      </c>
      <c r="AM25" s="35" t="str">
        <f t="shared" si="5"/>
        <v>A</v>
      </c>
      <c r="AN25" s="35" t="str">
        <f t="shared" si="5"/>
        <v>A</v>
      </c>
      <c r="AO25" s="35" t="str">
        <f t="shared" si="5"/>
        <v>A</v>
      </c>
      <c r="AP25" s="36"/>
    </row>
    <row r="26" spans="1:42">
      <c r="A26" s="25"/>
      <c r="B26" s="26"/>
      <c r="C26" s="27"/>
      <c r="D26" s="28"/>
      <c r="E26" s="28"/>
      <c r="F26" s="28"/>
      <c r="G26" s="28" t="s">
        <v>69</v>
      </c>
      <c r="H26" s="51" t="s">
        <v>70</v>
      </c>
      <c r="I26" s="28" t="s">
        <v>25</v>
      </c>
      <c r="J26" s="29" t="s">
        <v>13</v>
      </c>
      <c r="K26" s="25" t="s">
        <v>34</v>
      </c>
      <c r="L26" s="25" t="s">
        <v>34</v>
      </c>
      <c r="M26" s="25" t="s">
        <v>71</v>
      </c>
      <c r="N26" s="25" t="s">
        <v>34</v>
      </c>
      <c r="O26" s="25" t="s">
        <v>34</v>
      </c>
      <c r="P26" s="25" t="s">
        <v>34</v>
      </c>
      <c r="Q26" s="25" t="s">
        <v>34</v>
      </c>
      <c r="R26" s="25" t="s">
        <v>34</v>
      </c>
      <c r="S26" s="25" t="s">
        <v>71</v>
      </c>
      <c r="T26" s="25" t="s">
        <v>71</v>
      </c>
      <c r="U26" s="25" t="s">
        <v>34</v>
      </c>
      <c r="V26" s="25" t="s">
        <v>34</v>
      </c>
      <c r="W26" s="25" t="s">
        <v>34</v>
      </c>
      <c r="X26" s="25" t="s">
        <v>34</v>
      </c>
      <c r="Y26" s="25" t="s">
        <v>47</v>
      </c>
      <c r="Z26" s="25" t="s">
        <v>34</v>
      </c>
      <c r="AA26" s="25" t="s">
        <v>71</v>
      </c>
      <c r="AB26" s="25" t="s">
        <v>34</v>
      </c>
      <c r="AC26" s="25" t="s">
        <v>34</v>
      </c>
      <c r="AD26" s="25" t="s">
        <v>34</v>
      </c>
      <c r="AE26" s="25" t="s">
        <v>34</v>
      </c>
      <c r="AF26" s="25" t="s">
        <v>71</v>
      </c>
      <c r="AG26" s="25" t="s">
        <v>34</v>
      </c>
      <c r="AH26" s="25" t="s">
        <v>34</v>
      </c>
      <c r="AI26" s="25" t="s">
        <v>34</v>
      </c>
      <c r="AJ26" s="25" t="s">
        <v>34</v>
      </c>
      <c r="AK26" s="25"/>
      <c r="AL26" s="25"/>
      <c r="AM26" s="25"/>
      <c r="AN26" s="25"/>
      <c r="AO26" s="25"/>
      <c r="AP26" s="19">
        <f>COUNTIF(K26:AO26,"p")</f>
        <v>20</v>
      </c>
    </row>
    <row r="27" spans="1:42">
      <c r="A27" s="25"/>
      <c r="B27" s="28"/>
      <c r="C27" s="27"/>
      <c r="D27" s="28"/>
      <c r="E27" s="28"/>
      <c r="F27" s="28"/>
      <c r="G27" s="28" t="s">
        <v>69</v>
      </c>
      <c r="H27" s="51" t="s">
        <v>70</v>
      </c>
      <c r="I27" s="28" t="s">
        <v>25</v>
      </c>
      <c r="J27" s="29" t="s">
        <v>32</v>
      </c>
      <c r="K27" s="30">
        <v>0.375</v>
      </c>
      <c r="L27" s="30">
        <v>0.375</v>
      </c>
      <c r="M27" s="30"/>
      <c r="N27" s="30">
        <v>0.375</v>
      </c>
      <c r="O27" s="30">
        <v>0.37152777777777773</v>
      </c>
      <c r="P27" s="30">
        <v>0.375</v>
      </c>
      <c r="Q27" s="30">
        <v>0.37152777777777773</v>
      </c>
      <c r="R27" s="30">
        <v>0.36944444444444446</v>
      </c>
      <c r="S27" s="30"/>
      <c r="T27" s="30"/>
      <c r="U27" s="30">
        <v>0.375</v>
      </c>
      <c r="V27" s="30">
        <v>0.375</v>
      </c>
      <c r="W27" s="30">
        <v>0.375</v>
      </c>
      <c r="X27" s="30">
        <v>0.375</v>
      </c>
      <c r="Y27" s="19"/>
      <c r="Z27" s="30">
        <v>0.375</v>
      </c>
      <c r="AA27" s="19"/>
      <c r="AB27" s="30">
        <v>0.375</v>
      </c>
      <c r="AC27" s="30">
        <v>0.375</v>
      </c>
      <c r="AD27" s="30">
        <v>0.375</v>
      </c>
      <c r="AE27" s="30">
        <v>0.375</v>
      </c>
      <c r="AF27" s="19"/>
      <c r="AG27" s="30">
        <v>0.375</v>
      </c>
      <c r="AH27" s="30">
        <v>0.375</v>
      </c>
      <c r="AI27" s="30">
        <v>0.375</v>
      </c>
      <c r="AJ27" s="30">
        <v>0.375</v>
      </c>
      <c r="AK27" s="30"/>
      <c r="AL27" s="19"/>
      <c r="AM27" s="19"/>
      <c r="AN27" s="19"/>
      <c r="AO27" s="19"/>
      <c r="AP27" s="19"/>
    </row>
    <row r="28" spans="1:42">
      <c r="A28" s="25"/>
      <c r="B28" s="28"/>
      <c r="C28" s="27"/>
      <c r="D28" s="28"/>
      <c r="E28" s="28"/>
      <c r="F28" s="28"/>
      <c r="G28" s="28" t="s">
        <v>69</v>
      </c>
      <c r="H28" s="51" t="s">
        <v>70</v>
      </c>
      <c r="I28" s="28" t="s">
        <v>25</v>
      </c>
      <c r="J28" s="29" t="s">
        <v>33</v>
      </c>
      <c r="K28" s="30">
        <v>0.75</v>
      </c>
      <c r="L28" s="30">
        <v>0.75</v>
      </c>
      <c r="M28" s="30"/>
      <c r="N28" s="30">
        <v>0.75</v>
      </c>
      <c r="O28" s="30">
        <v>0.79166666666666663</v>
      </c>
      <c r="P28" s="30">
        <v>0.79166666666666663</v>
      </c>
      <c r="Q28" s="30">
        <v>0.75</v>
      </c>
      <c r="R28" s="30">
        <v>0.75</v>
      </c>
      <c r="S28" s="30"/>
      <c r="T28" s="30"/>
      <c r="U28" s="30">
        <v>0.88541666666666663</v>
      </c>
      <c r="V28" s="30">
        <v>0.79166666666666663</v>
      </c>
      <c r="W28" s="30">
        <v>0.75</v>
      </c>
      <c r="X28" s="30">
        <v>0.75</v>
      </c>
      <c r="Y28" s="19"/>
      <c r="Z28" s="30">
        <v>0.75</v>
      </c>
      <c r="AA28" s="19"/>
      <c r="AB28" s="30">
        <v>0.79861111111111116</v>
      </c>
      <c r="AC28" s="30">
        <v>0.75</v>
      </c>
      <c r="AD28" s="30">
        <v>0.77777777777777779</v>
      </c>
      <c r="AE28" s="30">
        <v>0.76388888888888884</v>
      </c>
      <c r="AF28" s="19"/>
      <c r="AG28" s="30">
        <v>0.79166666666666663</v>
      </c>
      <c r="AH28" s="30">
        <v>0.75</v>
      </c>
      <c r="AI28" s="30">
        <v>0.76041666666666663</v>
      </c>
      <c r="AJ28" s="30"/>
      <c r="AK28" s="30"/>
      <c r="AL28" s="19"/>
      <c r="AM28" s="19"/>
      <c r="AN28" s="19"/>
      <c r="AO28" s="19"/>
      <c r="AP28" s="19"/>
    </row>
    <row r="29" spans="1:42">
      <c r="A29" s="31"/>
      <c r="B29" s="32"/>
      <c r="C29" s="33"/>
      <c r="D29" s="32"/>
      <c r="E29" s="32"/>
      <c r="F29" s="32"/>
      <c r="G29" s="32" t="s">
        <v>69</v>
      </c>
      <c r="H29" s="53" t="s">
        <v>70</v>
      </c>
      <c r="I29" s="32" t="s">
        <v>25</v>
      </c>
      <c r="J29" s="34" t="s">
        <v>72</v>
      </c>
      <c r="K29" s="35">
        <f t="shared" ref="K29:AO29" si="6">IF(AND(ISBLANK(K27),ISBLANK(K28)),"A",IFERROR(+MOD(K28-K27,1),0))</f>
        <v>0.375</v>
      </c>
      <c r="L29" s="35">
        <f t="shared" si="6"/>
        <v>0.375</v>
      </c>
      <c r="M29" s="35" t="str">
        <f t="shared" si="6"/>
        <v>A</v>
      </c>
      <c r="N29" s="35">
        <f t="shared" si="6"/>
        <v>0.375</v>
      </c>
      <c r="O29" s="35">
        <f t="shared" si="6"/>
        <v>0.4201388888888889</v>
      </c>
      <c r="P29" s="35">
        <f t="shared" si="6"/>
        <v>0.41666666666666663</v>
      </c>
      <c r="Q29" s="35">
        <f t="shared" si="6"/>
        <v>0.37847222222222227</v>
      </c>
      <c r="R29" s="35">
        <f t="shared" si="6"/>
        <v>0.38055555555555554</v>
      </c>
      <c r="S29" s="35" t="str">
        <f t="shared" si="6"/>
        <v>A</v>
      </c>
      <c r="T29" s="35" t="str">
        <f t="shared" si="6"/>
        <v>A</v>
      </c>
      <c r="U29" s="35">
        <f t="shared" si="6"/>
        <v>0.51041666666666663</v>
      </c>
      <c r="V29" s="35">
        <f t="shared" si="6"/>
        <v>0.41666666666666663</v>
      </c>
      <c r="W29" s="35">
        <f t="shared" si="6"/>
        <v>0.375</v>
      </c>
      <c r="X29" s="35">
        <f t="shared" si="6"/>
        <v>0.375</v>
      </c>
      <c r="Y29" s="35" t="str">
        <f t="shared" si="6"/>
        <v>A</v>
      </c>
      <c r="Z29" s="35">
        <f t="shared" si="6"/>
        <v>0.375</v>
      </c>
      <c r="AA29" s="35" t="str">
        <f t="shared" si="6"/>
        <v>A</v>
      </c>
      <c r="AB29" s="35">
        <f t="shared" si="6"/>
        <v>0.42361111111111116</v>
      </c>
      <c r="AC29" s="35">
        <f t="shared" si="6"/>
        <v>0.375</v>
      </c>
      <c r="AD29" s="35">
        <f t="shared" si="6"/>
        <v>0.40277777777777779</v>
      </c>
      <c r="AE29" s="35">
        <f t="shared" si="6"/>
        <v>0.38888888888888884</v>
      </c>
      <c r="AF29" s="35" t="str">
        <f t="shared" si="6"/>
        <v>A</v>
      </c>
      <c r="AG29" s="35">
        <f t="shared" si="6"/>
        <v>0.41666666666666663</v>
      </c>
      <c r="AH29" s="35">
        <f t="shared" si="6"/>
        <v>0.375</v>
      </c>
      <c r="AI29" s="35">
        <f t="shared" si="6"/>
        <v>0.38541666666666663</v>
      </c>
      <c r="AJ29" s="35">
        <f t="shared" si="6"/>
        <v>0.625</v>
      </c>
      <c r="AK29" s="35" t="str">
        <f t="shared" si="6"/>
        <v>A</v>
      </c>
      <c r="AL29" s="35" t="str">
        <f t="shared" si="6"/>
        <v>A</v>
      </c>
      <c r="AM29" s="35" t="str">
        <f t="shared" si="6"/>
        <v>A</v>
      </c>
      <c r="AN29" s="35" t="str">
        <f t="shared" si="6"/>
        <v>A</v>
      </c>
      <c r="AO29" s="35" t="str">
        <f t="shared" si="6"/>
        <v>A</v>
      </c>
      <c r="AP29" s="36"/>
    </row>
    <row r="30" spans="1:42">
      <c r="A30" s="25"/>
      <c r="B30" s="26"/>
      <c r="C30" s="39"/>
      <c r="D30" s="28"/>
      <c r="E30" s="28"/>
      <c r="F30" s="28"/>
      <c r="G30" s="28" t="s">
        <v>74</v>
      </c>
      <c r="H30" s="51"/>
      <c r="I30" s="28" t="s">
        <v>25</v>
      </c>
      <c r="J30" s="29" t="s">
        <v>13</v>
      </c>
      <c r="K30" s="25" t="s">
        <v>34</v>
      </c>
      <c r="L30" s="25" t="s">
        <v>34</v>
      </c>
      <c r="M30" s="25" t="s">
        <v>34</v>
      </c>
      <c r="N30" s="25" t="s">
        <v>34</v>
      </c>
      <c r="O30" s="25" t="s">
        <v>34</v>
      </c>
      <c r="P30" s="25" t="s">
        <v>34</v>
      </c>
      <c r="Q30" s="25" t="s">
        <v>34</v>
      </c>
      <c r="R30" s="25" t="s">
        <v>34</v>
      </c>
      <c r="S30" s="25" t="s">
        <v>47</v>
      </c>
      <c r="T30" s="25" t="s">
        <v>75</v>
      </c>
      <c r="U30" s="25" t="s">
        <v>34</v>
      </c>
      <c r="V30" s="25" t="s">
        <v>34</v>
      </c>
      <c r="W30" s="25" t="s">
        <v>34</v>
      </c>
      <c r="X30" s="25" t="s">
        <v>34</v>
      </c>
      <c r="Y30" s="25" t="s">
        <v>47</v>
      </c>
      <c r="Z30" s="25" t="s">
        <v>34</v>
      </c>
      <c r="AA30" s="25" t="s">
        <v>75</v>
      </c>
      <c r="AB30" s="25" t="s">
        <v>34</v>
      </c>
      <c r="AC30" s="25" t="s">
        <v>34</v>
      </c>
      <c r="AD30" s="25" t="s">
        <v>34</v>
      </c>
      <c r="AE30" s="25" t="s">
        <v>34</v>
      </c>
      <c r="AF30" s="25" t="s">
        <v>34</v>
      </c>
      <c r="AG30" s="25" t="s">
        <v>34</v>
      </c>
      <c r="AH30" s="25" t="s">
        <v>34</v>
      </c>
      <c r="AI30" s="25" t="s">
        <v>34</v>
      </c>
      <c r="AJ30" s="43" t="s">
        <v>34</v>
      </c>
      <c r="AK30" s="25"/>
      <c r="AL30" s="25"/>
      <c r="AM30" s="25"/>
      <c r="AN30" s="25"/>
      <c r="AO30" s="25"/>
      <c r="AP30" s="19">
        <f>COUNTIF(K30:AO30,"p")</f>
        <v>22</v>
      </c>
    </row>
    <row r="31" spans="1:42">
      <c r="A31" s="25"/>
      <c r="B31" s="28"/>
      <c r="C31" s="39"/>
      <c r="D31" s="28"/>
      <c r="E31" s="28"/>
      <c r="F31" s="28"/>
      <c r="G31" s="28" t="s">
        <v>74</v>
      </c>
      <c r="H31" s="51"/>
      <c r="I31" s="28" t="s">
        <v>25</v>
      </c>
      <c r="J31" s="29" t="s">
        <v>32</v>
      </c>
      <c r="K31" s="30">
        <v>0.375</v>
      </c>
      <c r="L31" s="30">
        <v>0.375</v>
      </c>
      <c r="M31" s="30">
        <v>0.375</v>
      </c>
      <c r="N31" s="30">
        <v>0.375</v>
      </c>
      <c r="O31" s="30">
        <v>0.33333333333333331</v>
      </c>
      <c r="P31" s="30">
        <v>0.36805555555555558</v>
      </c>
      <c r="Q31" s="30">
        <v>0.45833333333333331</v>
      </c>
      <c r="R31" s="30">
        <v>0.36944444444444446</v>
      </c>
      <c r="S31" s="30"/>
      <c r="T31" s="19"/>
      <c r="U31" s="30">
        <v>0.37152777777777773</v>
      </c>
      <c r="V31" s="30">
        <v>0.375</v>
      </c>
      <c r="W31" s="30">
        <v>0.375</v>
      </c>
      <c r="X31" s="30">
        <v>0.375</v>
      </c>
      <c r="Y31" s="30"/>
      <c r="Z31" s="30">
        <v>0.375</v>
      </c>
      <c r="AA31" s="19"/>
      <c r="AB31" s="30">
        <v>0.375</v>
      </c>
      <c r="AC31" s="30">
        <v>0.375</v>
      </c>
      <c r="AD31" s="30">
        <v>0.375</v>
      </c>
      <c r="AE31" s="30">
        <v>0.375</v>
      </c>
      <c r="AF31" s="30">
        <v>0.375</v>
      </c>
      <c r="AG31" s="30">
        <v>0.375</v>
      </c>
      <c r="AH31" s="30">
        <v>0.40972222222222227</v>
      </c>
      <c r="AI31" s="52">
        <v>0.375</v>
      </c>
      <c r="AJ31" s="44">
        <v>0.375</v>
      </c>
      <c r="AK31" s="30"/>
      <c r="AL31" s="30"/>
      <c r="AM31" s="30"/>
      <c r="AN31" s="30"/>
      <c r="AO31" s="30"/>
      <c r="AP31" s="19"/>
    </row>
    <row r="32" spans="1:42">
      <c r="A32" s="25"/>
      <c r="B32" s="28"/>
      <c r="C32" s="39"/>
      <c r="D32" s="28"/>
      <c r="E32" s="28"/>
      <c r="F32" s="28"/>
      <c r="G32" s="28" t="s">
        <v>74</v>
      </c>
      <c r="H32" s="51"/>
      <c r="I32" s="28" t="s">
        <v>25</v>
      </c>
      <c r="J32" s="29" t="s">
        <v>33</v>
      </c>
      <c r="K32" s="30">
        <v>0.75</v>
      </c>
      <c r="L32" s="30">
        <v>0.75</v>
      </c>
      <c r="M32" s="30">
        <v>0.75</v>
      </c>
      <c r="N32" s="30">
        <v>0.75</v>
      </c>
      <c r="O32" s="30">
        <v>0.70833333333333337</v>
      </c>
      <c r="P32" s="30">
        <v>0.75</v>
      </c>
      <c r="Q32" s="30">
        <v>0.83333333333333337</v>
      </c>
      <c r="R32" s="30">
        <v>0.75</v>
      </c>
      <c r="S32" s="30"/>
      <c r="T32" s="19"/>
      <c r="U32" s="30">
        <v>0.75</v>
      </c>
      <c r="V32" s="30">
        <v>0.75</v>
      </c>
      <c r="W32" s="30">
        <v>0.75</v>
      </c>
      <c r="X32" s="30">
        <v>0.75</v>
      </c>
      <c r="Y32" s="30"/>
      <c r="Z32" s="30">
        <v>0.75</v>
      </c>
      <c r="AA32" s="19"/>
      <c r="AB32" s="30">
        <v>0.75</v>
      </c>
      <c r="AC32" s="30">
        <v>0.75</v>
      </c>
      <c r="AD32" s="30">
        <v>0.75</v>
      </c>
      <c r="AE32" s="30">
        <v>0.75</v>
      </c>
      <c r="AF32" s="30">
        <v>0.75</v>
      </c>
      <c r="AG32" s="30">
        <v>0.75</v>
      </c>
      <c r="AH32" s="30">
        <v>0.75</v>
      </c>
      <c r="AI32" s="52">
        <v>0.75</v>
      </c>
      <c r="AJ32" s="30"/>
      <c r="AK32" s="30"/>
      <c r="AL32" s="30"/>
      <c r="AM32" s="30"/>
      <c r="AN32" s="30"/>
      <c r="AO32" s="30"/>
      <c r="AP32" s="19"/>
    </row>
    <row r="33" spans="1:42">
      <c r="A33" s="45"/>
      <c r="B33" s="32"/>
      <c r="C33" s="47"/>
      <c r="D33" s="32"/>
      <c r="E33" s="32"/>
      <c r="F33" s="32"/>
      <c r="G33" s="32" t="s">
        <v>74</v>
      </c>
      <c r="H33" s="53"/>
      <c r="I33" s="32" t="s">
        <v>25</v>
      </c>
      <c r="J33" s="34" t="s">
        <v>72</v>
      </c>
      <c r="K33" s="35">
        <f t="shared" ref="K33:AO33" si="7">IF(AND(ISBLANK(K31),ISBLANK(K32)),"A",IFERROR(+MOD(K32-K31,1),0))</f>
        <v>0.375</v>
      </c>
      <c r="L33" s="35">
        <f t="shared" si="7"/>
        <v>0.375</v>
      </c>
      <c r="M33" s="35">
        <f t="shared" si="7"/>
        <v>0.375</v>
      </c>
      <c r="N33" s="35">
        <f t="shared" si="7"/>
        <v>0.375</v>
      </c>
      <c r="O33" s="35">
        <f t="shared" si="7"/>
        <v>0.37500000000000006</v>
      </c>
      <c r="P33" s="35">
        <f t="shared" si="7"/>
        <v>0.38194444444444442</v>
      </c>
      <c r="Q33" s="35">
        <f t="shared" si="7"/>
        <v>0.37500000000000006</v>
      </c>
      <c r="R33" s="35">
        <f t="shared" si="7"/>
        <v>0.38055555555555554</v>
      </c>
      <c r="S33" s="35" t="str">
        <f t="shared" si="7"/>
        <v>A</v>
      </c>
      <c r="T33" s="35" t="str">
        <f t="shared" si="7"/>
        <v>A</v>
      </c>
      <c r="U33" s="35">
        <f t="shared" si="7"/>
        <v>0.37847222222222227</v>
      </c>
      <c r="V33" s="35">
        <f t="shared" si="7"/>
        <v>0.375</v>
      </c>
      <c r="W33" s="35">
        <f t="shared" si="7"/>
        <v>0.375</v>
      </c>
      <c r="X33" s="35">
        <f t="shared" si="7"/>
        <v>0.375</v>
      </c>
      <c r="Y33" s="35" t="str">
        <f t="shared" si="7"/>
        <v>A</v>
      </c>
      <c r="Z33" s="35">
        <f t="shared" si="7"/>
        <v>0.375</v>
      </c>
      <c r="AA33" s="35" t="str">
        <f t="shared" si="7"/>
        <v>A</v>
      </c>
      <c r="AB33" s="35">
        <f t="shared" si="7"/>
        <v>0.375</v>
      </c>
      <c r="AC33" s="35">
        <f t="shared" si="7"/>
        <v>0.375</v>
      </c>
      <c r="AD33" s="35">
        <f t="shared" si="7"/>
        <v>0.375</v>
      </c>
      <c r="AE33" s="35">
        <f t="shared" si="7"/>
        <v>0.375</v>
      </c>
      <c r="AF33" s="35">
        <f t="shared" si="7"/>
        <v>0.375</v>
      </c>
      <c r="AG33" s="35">
        <f t="shared" si="7"/>
        <v>0.375</v>
      </c>
      <c r="AH33" s="35">
        <f t="shared" si="7"/>
        <v>0.34027777777777773</v>
      </c>
      <c r="AI33" s="35">
        <f t="shared" si="7"/>
        <v>0.375</v>
      </c>
      <c r="AJ33" s="35">
        <f t="shared" si="7"/>
        <v>0.625</v>
      </c>
      <c r="AK33" s="35" t="str">
        <f t="shared" si="7"/>
        <v>A</v>
      </c>
      <c r="AL33" s="35" t="str">
        <f t="shared" si="7"/>
        <v>A</v>
      </c>
      <c r="AM33" s="35" t="str">
        <f t="shared" si="7"/>
        <v>A</v>
      </c>
      <c r="AN33" s="35" t="str">
        <f t="shared" si="7"/>
        <v>A</v>
      </c>
      <c r="AO33" s="35" t="str">
        <f t="shared" si="7"/>
        <v>A</v>
      </c>
      <c r="AP33" s="36"/>
    </row>
    <row r="34" spans="1:42">
      <c r="A34" s="25"/>
      <c r="B34" s="26"/>
      <c r="C34" s="27"/>
      <c r="D34" s="28"/>
      <c r="E34" s="39"/>
      <c r="F34" s="28"/>
      <c r="G34" s="28" t="s">
        <v>69</v>
      </c>
      <c r="H34" s="51" t="s">
        <v>70</v>
      </c>
      <c r="I34" s="28" t="s">
        <v>77</v>
      </c>
      <c r="J34" s="29" t="s">
        <v>13</v>
      </c>
      <c r="K34" s="25" t="s">
        <v>34</v>
      </c>
      <c r="L34" s="25" t="s">
        <v>34</v>
      </c>
      <c r="M34" s="25" t="s">
        <v>71</v>
      </c>
      <c r="N34" s="25" t="s">
        <v>34</v>
      </c>
      <c r="O34" s="25" t="s">
        <v>34</v>
      </c>
      <c r="P34" s="25" t="s">
        <v>34</v>
      </c>
      <c r="Q34" s="25" t="s">
        <v>71</v>
      </c>
      <c r="R34" s="25" t="s">
        <v>71</v>
      </c>
      <c r="S34" s="25" t="s">
        <v>71</v>
      </c>
      <c r="T34" s="25" t="s">
        <v>71</v>
      </c>
      <c r="U34" s="25" t="s">
        <v>71</v>
      </c>
      <c r="V34" s="25" t="s">
        <v>71</v>
      </c>
      <c r="W34" s="25" t="s">
        <v>71</v>
      </c>
      <c r="X34" s="25" t="s">
        <v>71</v>
      </c>
      <c r="Y34" s="25" t="s">
        <v>71</v>
      </c>
      <c r="Z34" s="25" t="s">
        <v>71</v>
      </c>
      <c r="AA34" s="25" t="s">
        <v>71</v>
      </c>
      <c r="AB34" s="25" t="s">
        <v>71</v>
      </c>
      <c r="AC34" s="25" t="s">
        <v>71</v>
      </c>
      <c r="AD34" s="25" t="s">
        <v>71</v>
      </c>
      <c r="AE34" s="25" t="s">
        <v>71</v>
      </c>
      <c r="AF34" s="25" t="s">
        <v>71</v>
      </c>
      <c r="AG34" s="25" t="s">
        <v>71</v>
      </c>
      <c r="AH34" s="25" t="s">
        <v>71</v>
      </c>
      <c r="AI34" s="25" t="s">
        <v>71</v>
      </c>
      <c r="AJ34" s="25" t="s">
        <v>71</v>
      </c>
      <c r="AK34" s="25" t="s">
        <v>71</v>
      </c>
      <c r="AL34" s="25" t="s">
        <v>71</v>
      </c>
      <c r="AM34" s="25" t="s">
        <v>71</v>
      </c>
      <c r="AN34" s="25" t="s">
        <v>71</v>
      </c>
      <c r="AO34" s="25" t="s">
        <v>71</v>
      </c>
      <c r="AP34" s="19">
        <f>COUNTIF(K34:AO34,"p")</f>
        <v>5</v>
      </c>
    </row>
    <row r="35" spans="1:42">
      <c r="A35" s="25"/>
      <c r="B35" s="26"/>
      <c r="C35" s="27"/>
      <c r="D35" s="28"/>
      <c r="E35" s="39"/>
      <c r="F35" s="28"/>
      <c r="G35" s="28" t="s">
        <v>69</v>
      </c>
      <c r="H35" s="51" t="s">
        <v>70</v>
      </c>
      <c r="I35" s="28" t="s">
        <v>77</v>
      </c>
      <c r="J35" s="29" t="s">
        <v>32</v>
      </c>
      <c r="K35" s="30">
        <v>0.375</v>
      </c>
      <c r="L35" s="30">
        <v>0.375</v>
      </c>
      <c r="M35" s="30"/>
      <c r="N35" s="30">
        <v>0.375</v>
      </c>
      <c r="O35" s="30">
        <v>0.375</v>
      </c>
      <c r="P35" s="30">
        <v>0.375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25" t="s">
        <v>71</v>
      </c>
      <c r="AG35" s="25" t="s">
        <v>71</v>
      </c>
      <c r="AH35" s="25" t="s">
        <v>71</v>
      </c>
      <c r="AI35" s="25" t="s">
        <v>71</v>
      </c>
      <c r="AJ35" s="25" t="s">
        <v>71</v>
      </c>
      <c r="AK35" s="19"/>
      <c r="AL35" s="19"/>
      <c r="AM35" s="19"/>
      <c r="AN35" s="19"/>
      <c r="AO35" s="19"/>
      <c r="AP35" s="19"/>
    </row>
    <row r="36" spans="1:42">
      <c r="A36" s="25"/>
      <c r="B36" s="26"/>
      <c r="C36" s="27"/>
      <c r="D36" s="28"/>
      <c r="E36" s="39"/>
      <c r="F36" s="28"/>
      <c r="G36" s="28" t="s">
        <v>69</v>
      </c>
      <c r="H36" s="51" t="s">
        <v>70</v>
      </c>
      <c r="I36" s="28" t="s">
        <v>77</v>
      </c>
      <c r="J36" s="29" t="s">
        <v>33</v>
      </c>
      <c r="K36" s="30">
        <v>0.75</v>
      </c>
      <c r="L36" s="30">
        <v>0.75</v>
      </c>
      <c r="M36" s="30"/>
      <c r="N36" s="30">
        <v>0.75</v>
      </c>
      <c r="O36" s="30">
        <v>0.78472222222222221</v>
      </c>
      <c r="P36" s="30">
        <v>0.79166666666666663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25" t="s">
        <v>71</v>
      </c>
      <c r="AG36" s="25" t="s">
        <v>71</v>
      </c>
      <c r="AH36" s="25" t="s">
        <v>71</v>
      </c>
      <c r="AI36" s="25" t="s">
        <v>71</v>
      </c>
      <c r="AJ36" s="25" t="s">
        <v>71</v>
      </c>
      <c r="AK36" s="19"/>
      <c r="AL36" s="19"/>
      <c r="AM36" s="19"/>
      <c r="AN36" s="19"/>
      <c r="AO36" s="19"/>
      <c r="AP36" s="19"/>
    </row>
    <row r="37" spans="1:42">
      <c r="A37" s="31"/>
      <c r="B37" s="32"/>
      <c r="C37" s="33"/>
      <c r="D37" s="32"/>
      <c r="E37" s="47"/>
      <c r="F37" s="32"/>
      <c r="G37" s="32" t="s">
        <v>69</v>
      </c>
      <c r="H37" s="53" t="s">
        <v>70</v>
      </c>
      <c r="I37" s="32" t="s">
        <v>77</v>
      </c>
      <c r="J37" s="34" t="s">
        <v>72</v>
      </c>
      <c r="K37" s="35">
        <f t="shared" ref="K37:AO37" si="8">IF(AND(ISBLANK(K35),ISBLANK(K36)),"A",IFERROR(+MOD(K36-K35,1),0))</f>
        <v>0.375</v>
      </c>
      <c r="L37" s="35">
        <f t="shared" si="8"/>
        <v>0.375</v>
      </c>
      <c r="M37" s="35" t="str">
        <f t="shared" si="8"/>
        <v>A</v>
      </c>
      <c r="N37" s="35">
        <f t="shared" si="8"/>
        <v>0.375</v>
      </c>
      <c r="O37" s="35">
        <f t="shared" si="8"/>
        <v>0.40972222222222221</v>
      </c>
      <c r="P37" s="35">
        <f t="shared" si="8"/>
        <v>0.41666666666666663</v>
      </c>
      <c r="Q37" s="35" t="str">
        <f t="shared" si="8"/>
        <v>A</v>
      </c>
      <c r="R37" s="35" t="str">
        <f t="shared" si="8"/>
        <v>A</v>
      </c>
      <c r="S37" s="35" t="str">
        <f t="shared" si="8"/>
        <v>A</v>
      </c>
      <c r="T37" s="35" t="str">
        <f t="shared" si="8"/>
        <v>A</v>
      </c>
      <c r="U37" s="35" t="str">
        <f t="shared" si="8"/>
        <v>A</v>
      </c>
      <c r="V37" s="35" t="str">
        <f t="shared" si="8"/>
        <v>A</v>
      </c>
      <c r="W37" s="35" t="str">
        <f t="shared" si="8"/>
        <v>A</v>
      </c>
      <c r="X37" s="35" t="str">
        <f t="shared" si="8"/>
        <v>A</v>
      </c>
      <c r="Y37" s="35" t="str">
        <f t="shared" si="8"/>
        <v>A</v>
      </c>
      <c r="Z37" s="35" t="str">
        <f t="shared" si="8"/>
        <v>A</v>
      </c>
      <c r="AA37" s="35" t="str">
        <f t="shared" si="8"/>
        <v>A</v>
      </c>
      <c r="AB37" s="35" t="str">
        <f t="shared" si="8"/>
        <v>A</v>
      </c>
      <c r="AC37" s="35" t="str">
        <f t="shared" si="8"/>
        <v>A</v>
      </c>
      <c r="AD37" s="35" t="str">
        <f t="shared" si="8"/>
        <v>A</v>
      </c>
      <c r="AE37" s="35" t="str">
        <f t="shared" si="8"/>
        <v>A</v>
      </c>
      <c r="AF37" s="35" t="s">
        <v>71</v>
      </c>
      <c r="AG37" s="35" t="s">
        <v>71</v>
      </c>
      <c r="AH37" s="35" t="s">
        <v>71</v>
      </c>
      <c r="AI37" s="35" t="s">
        <v>71</v>
      </c>
      <c r="AJ37" s="35" t="s">
        <v>71</v>
      </c>
      <c r="AK37" s="35" t="str">
        <f t="shared" si="8"/>
        <v>A</v>
      </c>
      <c r="AL37" s="35" t="str">
        <f t="shared" si="8"/>
        <v>A</v>
      </c>
      <c r="AM37" s="35" t="str">
        <f t="shared" si="8"/>
        <v>A</v>
      </c>
      <c r="AN37" s="35" t="str">
        <f t="shared" si="8"/>
        <v>A</v>
      </c>
      <c r="AO37" s="35" t="str">
        <f t="shared" si="8"/>
        <v>A</v>
      </c>
      <c r="AP37" s="36"/>
    </row>
    <row r="38" spans="1:42">
      <c r="A38" s="25"/>
      <c r="B38" s="26"/>
      <c r="C38" s="39"/>
      <c r="D38" s="28"/>
      <c r="E38" s="28"/>
      <c r="F38" s="28"/>
      <c r="G38" s="28" t="s">
        <v>74</v>
      </c>
      <c r="H38" s="51" t="s">
        <v>73</v>
      </c>
      <c r="I38" s="28" t="s">
        <v>25</v>
      </c>
      <c r="J38" s="29" t="s">
        <v>13</v>
      </c>
      <c r="K38" s="25" t="s">
        <v>34</v>
      </c>
      <c r="L38" s="25" t="s">
        <v>34</v>
      </c>
      <c r="M38" s="25" t="s">
        <v>75</v>
      </c>
      <c r="N38" s="25" t="s">
        <v>34</v>
      </c>
      <c r="O38" s="25" t="s">
        <v>34</v>
      </c>
      <c r="P38" s="25" t="s">
        <v>71</v>
      </c>
      <c r="Q38" s="25" t="s">
        <v>71</v>
      </c>
      <c r="R38" s="25" t="s">
        <v>71</v>
      </c>
      <c r="S38" s="25" t="s">
        <v>71</v>
      </c>
      <c r="T38" s="25" t="s">
        <v>71</v>
      </c>
      <c r="U38" s="25" t="s">
        <v>71</v>
      </c>
      <c r="V38" s="25" t="s">
        <v>34</v>
      </c>
      <c r="W38" s="25" t="s">
        <v>34</v>
      </c>
      <c r="X38" s="25" t="s">
        <v>34</v>
      </c>
      <c r="Y38" s="25" t="s">
        <v>47</v>
      </c>
      <c r="Z38" s="25" t="s">
        <v>47</v>
      </c>
      <c r="AA38" s="25" t="s">
        <v>75</v>
      </c>
      <c r="AB38" s="25" t="s">
        <v>34</v>
      </c>
      <c r="AC38" s="25" t="s">
        <v>34</v>
      </c>
      <c r="AD38" s="25" t="s">
        <v>34</v>
      </c>
      <c r="AE38" s="25" t="s">
        <v>34</v>
      </c>
      <c r="AF38" s="25" t="s">
        <v>71</v>
      </c>
      <c r="AG38" s="25" t="s">
        <v>34</v>
      </c>
      <c r="AH38" s="25" t="s">
        <v>71</v>
      </c>
      <c r="AI38" s="52" t="s">
        <v>34</v>
      </c>
      <c r="AJ38" s="43" t="s">
        <v>34</v>
      </c>
      <c r="AK38" s="25"/>
      <c r="AL38" s="25"/>
      <c r="AM38" s="25"/>
      <c r="AN38" s="25"/>
      <c r="AO38" s="25"/>
      <c r="AP38" s="19">
        <f>COUNTIF(K38:AO38,"p")</f>
        <v>14</v>
      </c>
    </row>
    <row r="39" spans="1:42">
      <c r="A39" s="25"/>
      <c r="B39" s="28"/>
      <c r="C39" s="39"/>
      <c r="D39" s="28"/>
      <c r="E39" s="28"/>
      <c r="F39" s="28"/>
      <c r="G39" s="28" t="s">
        <v>74</v>
      </c>
      <c r="H39" s="51" t="s">
        <v>73</v>
      </c>
      <c r="I39" s="28" t="s">
        <v>25</v>
      </c>
      <c r="J39" s="29" t="s">
        <v>32</v>
      </c>
      <c r="K39" s="30">
        <v>0.375</v>
      </c>
      <c r="L39" s="30">
        <v>0.375</v>
      </c>
      <c r="M39" s="30"/>
      <c r="N39" s="30">
        <v>0.375</v>
      </c>
      <c r="O39" s="30">
        <v>0.37152777777777773</v>
      </c>
      <c r="P39" s="30"/>
      <c r="Q39" s="30"/>
      <c r="R39" s="30"/>
      <c r="S39" s="30"/>
      <c r="T39" s="30"/>
      <c r="U39" s="30"/>
      <c r="V39" s="30">
        <v>0.375</v>
      </c>
      <c r="W39" s="30">
        <v>0.375</v>
      </c>
      <c r="X39" s="30">
        <v>0.38194444444444442</v>
      </c>
      <c r="Y39" s="30"/>
      <c r="Z39" s="30"/>
      <c r="AA39" s="30"/>
      <c r="AB39" s="30">
        <v>0.375</v>
      </c>
      <c r="AC39" s="30">
        <v>0.375</v>
      </c>
      <c r="AD39" s="30">
        <v>0.375</v>
      </c>
      <c r="AE39" s="30">
        <v>0.375</v>
      </c>
      <c r="AF39" s="30" t="s">
        <v>71</v>
      </c>
      <c r="AG39" s="30">
        <v>0.375</v>
      </c>
      <c r="AH39" s="30" t="s">
        <v>71</v>
      </c>
      <c r="AI39" s="30">
        <v>0.39583333333333331</v>
      </c>
      <c r="AJ39" s="44">
        <v>0.375</v>
      </c>
      <c r="AK39" s="19"/>
      <c r="AL39" s="30"/>
      <c r="AM39" s="19"/>
      <c r="AN39" s="30"/>
      <c r="AO39" s="30"/>
      <c r="AP39" s="19"/>
    </row>
    <row r="40" spans="1:42">
      <c r="A40" s="25"/>
      <c r="B40" s="28"/>
      <c r="C40" s="39"/>
      <c r="D40" s="28"/>
      <c r="E40" s="28"/>
      <c r="F40" s="28"/>
      <c r="G40" s="28" t="s">
        <v>74</v>
      </c>
      <c r="H40" s="51" t="s">
        <v>73</v>
      </c>
      <c r="I40" s="28" t="s">
        <v>25</v>
      </c>
      <c r="J40" s="29" t="s">
        <v>33</v>
      </c>
      <c r="K40" s="30">
        <v>0.75</v>
      </c>
      <c r="L40" s="30">
        <v>0.75</v>
      </c>
      <c r="M40" s="30"/>
      <c r="N40" s="30">
        <v>0.75</v>
      </c>
      <c r="O40" s="30">
        <v>0.75138888888888899</v>
      </c>
      <c r="P40" s="30"/>
      <c r="Q40" s="30"/>
      <c r="R40" s="30"/>
      <c r="S40" s="30"/>
      <c r="T40" s="30"/>
      <c r="U40" s="30"/>
      <c r="V40" s="30">
        <v>0.34375</v>
      </c>
      <c r="W40" s="30">
        <v>0.75</v>
      </c>
      <c r="X40" s="30">
        <v>0.75</v>
      </c>
      <c r="Y40" s="30"/>
      <c r="Z40" s="30"/>
      <c r="AA40" s="30"/>
      <c r="AB40" s="30">
        <v>0.75</v>
      </c>
      <c r="AC40" s="30">
        <v>0.75</v>
      </c>
      <c r="AD40" s="30">
        <v>0.75</v>
      </c>
      <c r="AE40" s="30">
        <v>0.75</v>
      </c>
      <c r="AF40" s="30" t="s">
        <v>71</v>
      </c>
      <c r="AG40" s="30">
        <v>0.75</v>
      </c>
      <c r="AH40" s="30" t="s">
        <v>71</v>
      </c>
      <c r="AI40" s="30">
        <v>0.75</v>
      </c>
      <c r="AJ40" s="25"/>
      <c r="AK40" s="19"/>
      <c r="AL40" s="30"/>
      <c r="AM40" s="19"/>
      <c r="AN40" s="30"/>
      <c r="AO40" s="30"/>
      <c r="AP40" s="19"/>
    </row>
    <row r="41" spans="1:42">
      <c r="A41" s="45"/>
      <c r="B41" s="32"/>
      <c r="C41" s="47"/>
      <c r="D41" s="32"/>
      <c r="E41" s="32"/>
      <c r="F41" s="32"/>
      <c r="G41" s="32" t="s">
        <v>74</v>
      </c>
      <c r="H41" s="53" t="s">
        <v>73</v>
      </c>
      <c r="I41" s="32" t="s">
        <v>25</v>
      </c>
      <c r="J41" s="34" t="s">
        <v>72</v>
      </c>
      <c r="K41" s="35">
        <f t="shared" ref="K41:AO41" si="9">IF(AND(ISBLANK(K39),ISBLANK(K40)),"A",IFERROR(+MOD(K40-K39,1),0))</f>
        <v>0.375</v>
      </c>
      <c r="L41" s="35">
        <f t="shared" si="9"/>
        <v>0.375</v>
      </c>
      <c r="M41" s="35" t="str">
        <f t="shared" si="9"/>
        <v>A</v>
      </c>
      <c r="N41" s="35">
        <f t="shared" si="9"/>
        <v>0.375</v>
      </c>
      <c r="O41" s="35">
        <f t="shared" si="9"/>
        <v>0.37986111111111126</v>
      </c>
      <c r="P41" s="35" t="str">
        <f t="shared" si="9"/>
        <v>A</v>
      </c>
      <c r="Q41" s="35" t="str">
        <f t="shared" si="9"/>
        <v>A</v>
      </c>
      <c r="R41" s="35" t="str">
        <f t="shared" si="9"/>
        <v>A</v>
      </c>
      <c r="S41" s="35" t="str">
        <f t="shared" si="9"/>
        <v>A</v>
      </c>
      <c r="T41" s="35" t="str">
        <f t="shared" si="9"/>
        <v>A</v>
      </c>
      <c r="U41" s="35" t="str">
        <f t="shared" si="9"/>
        <v>A</v>
      </c>
      <c r="V41" s="35">
        <f t="shared" si="9"/>
        <v>0.96875</v>
      </c>
      <c r="W41" s="35">
        <f t="shared" si="9"/>
        <v>0.375</v>
      </c>
      <c r="X41" s="35">
        <f t="shared" si="9"/>
        <v>0.36805555555555558</v>
      </c>
      <c r="Y41" s="35" t="str">
        <f t="shared" si="9"/>
        <v>A</v>
      </c>
      <c r="Z41" s="35" t="str">
        <f t="shared" si="9"/>
        <v>A</v>
      </c>
      <c r="AA41" s="35" t="str">
        <f t="shared" si="9"/>
        <v>A</v>
      </c>
      <c r="AB41" s="35">
        <f t="shared" si="9"/>
        <v>0.375</v>
      </c>
      <c r="AC41" s="35">
        <f t="shared" si="9"/>
        <v>0.375</v>
      </c>
      <c r="AD41" s="35">
        <f t="shared" si="9"/>
        <v>0.375</v>
      </c>
      <c r="AE41" s="35">
        <f t="shared" si="9"/>
        <v>0.375</v>
      </c>
      <c r="AF41" s="35">
        <f t="shared" si="9"/>
        <v>0</v>
      </c>
      <c r="AG41" s="35">
        <f t="shared" si="9"/>
        <v>0.375</v>
      </c>
      <c r="AH41" s="35" t="s">
        <v>71</v>
      </c>
      <c r="AI41" s="35">
        <f t="shared" si="9"/>
        <v>0.35416666666666669</v>
      </c>
      <c r="AJ41" s="35">
        <f t="shared" si="9"/>
        <v>0.625</v>
      </c>
      <c r="AK41" s="35" t="str">
        <f t="shared" si="9"/>
        <v>A</v>
      </c>
      <c r="AL41" s="35" t="str">
        <f t="shared" si="9"/>
        <v>A</v>
      </c>
      <c r="AM41" s="35" t="str">
        <f t="shared" si="9"/>
        <v>A</v>
      </c>
      <c r="AN41" s="35" t="str">
        <f t="shared" si="9"/>
        <v>A</v>
      </c>
      <c r="AO41" s="35" t="str">
        <f t="shared" si="9"/>
        <v>A</v>
      </c>
      <c r="AP41" s="36"/>
    </row>
    <row r="42" spans="1:42">
      <c r="A42" s="25"/>
      <c r="B42" s="26"/>
      <c r="C42" s="39"/>
      <c r="D42" s="28"/>
      <c r="E42" s="28"/>
      <c r="F42" s="28"/>
      <c r="G42" s="28" t="s">
        <v>74</v>
      </c>
      <c r="H42" s="51" t="s">
        <v>73</v>
      </c>
      <c r="I42" s="28" t="s">
        <v>25</v>
      </c>
      <c r="J42" s="29" t="s">
        <v>13</v>
      </c>
      <c r="K42" s="25" t="s">
        <v>34</v>
      </c>
      <c r="L42" s="25" t="s">
        <v>71</v>
      </c>
      <c r="M42" s="25" t="s">
        <v>75</v>
      </c>
      <c r="N42" s="25" t="s">
        <v>34</v>
      </c>
      <c r="O42" s="25" t="s">
        <v>34</v>
      </c>
      <c r="P42" s="25" t="s">
        <v>34</v>
      </c>
      <c r="Q42" s="25" t="s">
        <v>34</v>
      </c>
      <c r="R42" s="25" t="s">
        <v>71</v>
      </c>
      <c r="S42" s="25" t="s">
        <v>47</v>
      </c>
      <c r="T42" s="25" t="s">
        <v>75</v>
      </c>
      <c r="U42" s="25" t="s">
        <v>34</v>
      </c>
      <c r="V42" s="25" t="s">
        <v>34</v>
      </c>
      <c r="W42" s="25" t="s">
        <v>34</v>
      </c>
      <c r="X42" s="25" t="s">
        <v>34</v>
      </c>
      <c r="Y42" s="25" t="s">
        <v>47</v>
      </c>
      <c r="Z42" s="25" t="s">
        <v>47</v>
      </c>
      <c r="AA42" s="25" t="s">
        <v>75</v>
      </c>
      <c r="AB42" s="25" t="s">
        <v>71</v>
      </c>
      <c r="AC42" s="52" t="s">
        <v>34</v>
      </c>
      <c r="AD42" s="25" t="s">
        <v>34</v>
      </c>
      <c r="AE42" s="25" t="s">
        <v>34</v>
      </c>
      <c r="AF42" s="25" t="s">
        <v>34</v>
      </c>
      <c r="AG42" s="25" t="s">
        <v>34</v>
      </c>
      <c r="AH42" s="25" t="s">
        <v>71</v>
      </c>
      <c r="AI42" s="25" t="s">
        <v>34</v>
      </c>
      <c r="AJ42" s="43" t="s">
        <v>34</v>
      </c>
      <c r="AK42" s="25"/>
      <c r="AL42" s="25"/>
      <c r="AM42" s="25"/>
      <c r="AN42" s="25"/>
      <c r="AO42" s="25"/>
      <c r="AP42" s="19">
        <f>COUNTIF(K42:AO42,"p")</f>
        <v>16</v>
      </c>
    </row>
    <row r="43" spans="1:42">
      <c r="A43" s="25"/>
      <c r="B43" s="28"/>
      <c r="C43" s="39"/>
      <c r="D43" s="28"/>
      <c r="E43" s="28"/>
      <c r="F43" s="28"/>
      <c r="G43" s="28" t="s">
        <v>74</v>
      </c>
      <c r="H43" s="51" t="s">
        <v>73</v>
      </c>
      <c r="I43" s="28" t="s">
        <v>25</v>
      </c>
      <c r="J43" s="29" t="s">
        <v>32</v>
      </c>
      <c r="K43" s="30">
        <v>0.375</v>
      </c>
      <c r="L43" s="30"/>
      <c r="M43" s="30"/>
      <c r="N43" s="30">
        <v>0.375</v>
      </c>
      <c r="O43" s="30">
        <v>0.36458333333333331</v>
      </c>
      <c r="P43" s="30">
        <v>0.375</v>
      </c>
      <c r="Q43" s="30">
        <v>0.375</v>
      </c>
      <c r="R43" s="30"/>
      <c r="S43" s="30"/>
      <c r="T43" s="30"/>
      <c r="U43" s="30">
        <v>0.375</v>
      </c>
      <c r="V43" s="30">
        <v>0.375</v>
      </c>
      <c r="W43" s="30">
        <v>0.375</v>
      </c>
      <c r="X43" s="30">
        <v>0.38194444444444442</v>
      </c>
      <c r="Y43" s="30"/>
      <c r="Z43" s="30"/>
      <c r="AA43" s="30"/>
      <c r="AB43" s="30"/>
      <c r="AC43" s="30">
        <v>0.375</v>
      </c>
      <c r="AD43" s="30">
        <v>0.375</v>
      </c>
      <c r="AE43" s="30">
        <v>0.375</v>
      </c>
      <c r="AF43" s="30">
        <v>0.375</v>
      </c>
      <c r="AG43" s="30">
        <v>0.375</v>
      </c>
      <c r="AH43" s="30" t="s">
        <v>71</v>
      </c>
      <c r="AI43" s="30">
        <v>0.375</v>
      </c>
      <c r="AJ43" s="44">
        <v>0.375</v>
      </c>
      <c r="AK43" s="30"/>
      <c r="AL43" s="30"/>
      <c r="AM43" s="30"/>
      <c r="AN43" s="30"/>
      <c r="AO43" s="30"/>
      <c r="AP43" s="19"/>
    </row>
    <row r="44" spans="1:42">
      <c r="A44" s="25"/>
      <c r="B44" s="28"/>
      <c r="C44" s="39"/>
      <c r="D44" s="28"/>
      <c r="E44" s="28"/>
      <c r="F44" s="28"/>
      <c r="G44" s="28" t="s">
        <v>74</v>
      </c>
      <c r="H44" s="51" t="s">
        <v>73</v>
      </c>
      <c r="I44" s="28" t="s">
        <v>25</v>
      </c>
      <c r="J44" s="29" t="s">
        <v>33</v>
      </c>
      <c r="K44" s="30">
        <v>0.75</v>
      </c>
      <c r="L44" s="30"/>
      <c r="M44" s="30"/>
      <c r="N44" s="30">
        <v>0.75</v>
      </c>
      <c r="O44" s="30">
        <v>0.75138888888888899</v>
      </c>
      <c r="P44" s="30">
        <v>0.79861111111111116</v>
      </c>
      <c r="Q44" s="30">
        <v>0.75347222222222221</v>
      </c>
      <c r="R44" s="30"/>
      <c r="S44" s="30"/>
      <c r="T44" s="30"/>
      <c r="U44" s="30">
        <v>0.75</v>
      </c>
      <c r="V44" s="30">
        <v>0.75902777777777775</v>
      </c>
      <c r="W44" s="30">
        <v>0.75</v>
      </c>
      <c r="X44" s="30">
        <v>0.79166666666666663</v>
      </c>
      <c r="Y44" s="30"/>
      <c r="Z44" s="30"/>
      <c r="AA44" s="30"/>
      <c r="AB44" s="30"/>
      <c r="AC44" s="30">
        <v>0.75</v>
      </c>
      <c r="AD44" s="30">
        <v>0.75</v>
      </c>
      <c r="AE44" s="30">
        <v>0.75</v>
      </c>
      <c r="AF44" s="30">
        <v>0.75</v>
      </c>
      <c r="AG44" s="30">
        <v>0.75</v>
      </c>
      <c r="AH44" s="30" t="s">
        <v>71</v>
      </c>
      <c r="AI44" s="30">
        <v>0.75</v>
      </c>
      <c r="AJ44" s="30"/>
      <c r="AK44" s="30"/>
      <c r="AL44" s="30"/>
      <c r="AM44" s="30"/>
      <c r="AN44" s="30"/>
      <c r="AO44" s="30"/>
      <c r="AP44" s="19"/>
    </row>
    <row r="45" spans="1:42">
      <c r="A45" s="45"/>
      <c r="B45" s="32"/>
      <c r="C45" s="47"/>
      <c r="D45" s="32"/>
      <c r="E45" s="32"/>
      <c r="F45" s="32"/>
      <c r="G45" s="32" t="s">
        <v>74</v>
      </c>
      <c r="H45" s="53" t="s">
        <v>73</v>
      </c>
      <c r="I45" s="32" t="s">
        <v>25</v>
      </c>
      <c r="J45" s="34" t="s">
        <v>72</v>
      </c>
      <c r="K45" s="35">
        <f t="shared" ref="K45:AO45" si="10">IF(AND(ISBLANK(K43),ISBLANK(K44)),"A",IFERROR(+MOD(K44-K43,1),0))</f>
        <v>0.375</v>
      </c>
      <c r="L45" s="35" t="str">
        <f t="shared" si="10"/>
        <v>A</v>
      </c>
      <c r="M45" s="35" t="str">
        <f t="shared" si="10"/>
        <v>A</v>
      </c>
      <c r="N45" s="35">
        <f t="shared" si="10"/>
        <v>0.375</v>
      </c>
      <c r="O45" s="35">
        <f t="shared" si="10"/>
        <v>0.38680555555555568</v>
      </c>
      <c r="P45" s="35">
        <f t="shared" si="10"/>
        <v>0.42361111111111116</v>
      </c>
      <c r="Q45" s="35">
        <f t="shared" si="10"/>
        <v>0.37847222222222221</v>
      </c>
      <c r="R45" s="35" t="str">
        <f t="shared" si="10"/>
        <v>A</v>
      </c>
      <c r="S45" s="35" t="str">
        <f t="shared" si="10"/>
        <v>A</v>
      </c>
      <c r="T45" s="35" t="str">
        <f t="shared" si="10"/>
        <v>A</v>
      </c>
      <c r="U45" s="35">
        <f t="shared" si="10"/>
        <v>0.375</v>
      </c>
      <c r="V45" s="35">
        <f t="shared" si="10"/>
        <v>0.38402777777777775</v>
      </c>
      <c r="W45" s="35">
        <f t="shared" si="10"/>
        <v>0.375</v>
      </c>
      <c r="X45" s="35">
        <f t="shared" si="10"/>
        <v>0.40972222222222221</v>
      </c>
      <c r="Y45" s="35" t="str">
        <f t="shared" si="10"/>
        <v>A</v>
      </c>
      <c r="Z45" s="35" t="str">
        <f t="shared" si="10"/>
        <v>A</v>
      </c>
      <c r="AA45" s="35" t="str">
        <f t="shared" si="10"/>
        <v>A</v>
      </c>
      <c r="AB45" s="35" t="str">
        <f t="shared" si="10"/>
        <v>A</v>
      </c>
      <c r="AC45" s="35">
        <f t="shared" si="10"/>
        <v>0.375</v>
      </c>
      <c r="AD45" s="35">
        <f t="shared" si="10"/>
        <v>0.375</v>
      </c>
      <c r="AE45" s="35">
        <f t="shared" si="10"/>
        <v>0.375</v>
      </c>
      <c r="AF45" s="35">
        <f t="shared" si="10"/>
        <v>0.375</v>
      </c>
      <c r="AG45" s="35">
        <f t="shared" si="10"/>
        <v>0.375</v>
      </c>
      <c r="AH45" s="35">
        <f t="shared" si="10"/>
        <v>0</v>
      </c>
      <c r="AI45" s="35">
        <f t="shared" si="10"/>
        <v>0.375</v>
      </c>
      <c r="AJ45" s="35">
        <f t="shared" si="10"/>
        <v>0.625</v>
      </c>
      <c r="AK45" s="35" t="str">
        <f t="shared" si="10"/>
        <v>A</v>
      </c>
      <c r="AL45" s="35" t="str">
        <f t="shared" si="10"/>
        <v>A</v>
      </c>
      <c r="AM45" s="35" t="str">
        <f t="shared" si="10"/>
        <v>A</v>
      </c>
      <c r="AN45" s="35" t="str">
        <f t="shared" si="10"/>
        <v>A</v>
      </c>
      <c r="AO45" s="35" t="str">
        <f t="shared" si="10"/>
        <v>A</v>
      </c>
      <c r="AP45" s="36"/>
    </row>
    <row r="46" spans="1:42">
      <c r="A46" s="25"/>
      <c r="B46" s="26"/>
      <c r="C46" s="39"/>
      <c r="D46" s="28"/>
      <c r="E46" s="28"/>
      <c r="F46" s="28"/>
      <c r="G46" s="28" t="s">
        <v>74</v>
      </c>
      <c r="H46" s="51" t="s">
        <v>76</v>
      </c>
      <c r="I46" s="28" t="s">
        <v>77</v>
      </c>
      <c r="J46" s="29" t="s">
        <v>13</v>
      </c>
      <c r="K46" s="25" t="s">
        <v>34</v>
      </c>
      <c r="L46" s="25" t="s">
        <v>34</v>
      </c>
      <c r="M46" s="25" t="s">
        <v>71</v>
      </c>
      <c r="N46" s="25" t="s">
        <v>34</v>
      </c>
      <c r="O46" s="25" t="s">
        <v>34</v>
      </c>
      <c r="P46" s="25" t="s">
        <v>34</v>
      </c>
      <c r="Q46" s="25" t="s">
        <v>34</v>
      </c>
      <c r="R46" s="25" t="s">
        <v>34</v>
      </c>
      <c r="S46" s="25" t="s">
        <v>34</v>
      </c>
      <c r="T46" s="25" t="s">
        <v>34</v>
      </c>
      <c r="U46" s="25" t="s">
        <v>34</v>
      </c>
      <c r="V46" s="25" t="s">
        <v>71</v>
      </c>
      <c r="W46" s="25" t="s">
        <v>71</v>
      </c>
      <c r="X46" s="25" t="s">
        <v>71</v>
      </c>
      <c r="Y46" s="25" t="s">
        <v>71</v>
      </c>
      <c r="Z46" s="25" t="s">
        <v>71</v>
      </c>
      <c r="AA46" s="25" t="s">
        <v>71</v>
      </c>
      <c r="AB46" s="25" t="s">
        <v>71</v>
      </c>
      <c r="AC46" s="25" t="s">
        <v>71</v>
      </c>
      <c r="AD46" s="25" t="s">
        <v>71</v>
      </c>
      <c r="AE46" s="25" t="s">
        <v>71</v>
      </c>
      <c r="AF46" s="25" t="s">
        <v>71</v>
      </c>
      <c r="AG46" s="25" t="s">
        <v>71</v>
      </c>
      <c r="AH46" s="52" t="s">
        <v>71</v>
      </c>
      <c r="AI46" s="25" t="s">
        <v>71</v>
      </c>
      <c r="AJ46" s="25" t="s">
        <v>71</v>
      </c>
      <c r="AK46" s="25" t="s">
        <v>71</v>
      </c>
      <c r="AL46" s="25" t="s">
        <v>71</v>
      </c>
      <c r="AM46" s="25" t="s">
        <v>71</v>
      </c>
      <c r="AN46" s="25" t="s">
        <v>71</v>
      </c>
      <c r="AO46" s="52" t="s">
        <v>71</v>
      </c>
      <c r="AP46" s="19">
        <f>COUNTIF(K46:AO46,"p")</f>
        <v>10</v>
      </c>
    </row>
    <row r="47" spans="1:42">
      <c r="A47" s="25"/>
      <c r="B47" s="26"/>
      <c r="C47" s="39"/>
      <c r="D47" s="28"/>
      <c r="E47" s="28"/>
      <c r="F47" s="28"/>
      <c r="G47" s="28" t="s">
        <v>74</v>
      </c>
      <c r="H47" s="51" t="s">
        <v>76</v>
      </c>
      <c r="I47" s="28" t="s">
        <v>77</v>
      </c>
      <c r="J47" s="29" t="s">
        <v>32</v>
      </c>
      <c r="K47" s="30">
        <v>0.375</v>
      </c>
      <c r="L47" s="30">
        <v>0.375</v>
      </c>
      <c r="M47" s="30"/>
      <c r="N47" s="30">
        <v>0.375</v>
      </c>
      <c r="O47" s="30">
        <v>0.37152777777777773</v>
      </c>
      <c r="P47" s="30">
        <v>0.80555555555555547</v>
      </c>
      <c r="Q47" s="30">
        <v>0.80902777777777779</v>
      </c>
      <c r="R47" s="30">
        <v>0.79166666666666663</v>
      </c>
      <c r="S47" s="30">
        <v>0.79166666666666663</v>
      </c>
      <c r="T47" s="30">
        <v>0.80347222222222225</v>
      </c>
      <c r="U47" s="30">
        <v>0.79166666666666663</v>
      </c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19" t="s">
        <v>71</v>
      </c>
      <c r="AG47" s="19" t="s">
        <v>71</v>
      </c>
      <c r="AH47" s="30" t="s">
        <v>71</v>
      </c>
      <c r="AI47" s="30" t="s">
        <v>71</v>
      </c>
      <c r="AJ47" s="30" t="s">
        <v>71</v>
      </c>
      <c r="AK47" s="19"/>
      <c r="AL47" s="19"/>
      <c r="AM47" s="19"/>
      <c r="AN47" s="19"/>
      <c r="AO47" s="30"/>
      <c r="AP47" s="19"/>
    </row>
    <row r="48" spans="1:42">
      <c r="A48" s="25"/>
      <c r="B48" s="26"/>
      <c r="C48" s="39"/>
      <c r="D48" s="28"/>
      <c r="E48" s="28"/>
      <c r="F48" s="28"/>
      <c r="G48" s="28" t="s">
        <v>74</v>
      </c>
      <c r="H48" s="51" t="s">
        <v>76</v>
      </c>
      <c r="I48" s="28" t="s">
        <v>77</v>
      </c>
      <c r="J48" s="29" t="s">
        <v>33</v>
      </c>
      <c r="K48" s="30">
        <v>0.875</v>
      </c>
      <c r="L48" s="30">
        <v>0.875</v>
      </c>
      <c r="M48" s="30"/>
      <c r="N48" s="30">
        <v>0.83333333333333337</v>
      </c>
      <c r="O48" s="30">
        <v>0.75</v>
      </c>
      <c r="P48" s="30">
        <v>0.16666666666666666</v>
      </c>
      <c r="Q48" s="30">
        <v>0.16666666666666666</v>
      </c>
      <c r="R48" s="30">
        <v>0.16666666666666666</v>
      </c>
      <c r="S48" s="30">
        <v>0.16666666666666666</v>
      </c>
      <c r="T48" s="30">
        <v>0.16666666666666666</v>
      </c>
      <c r="U48" s="30">
        <v>0.16666666666666666</v>
      </c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19" t="s">
        <v>71</v>
      </c>
      <c r="AG48" s="19" t="s">
        <v>71</v>
      </c>
      <c r="AH48" s="30" t="s">
        <v>71</v>
      </c>
      <c r="AI48" s="30" t="s">
        <v>71</v>
      </c>
      <c r="AJ48" s="30" t="s">
        <v>71</v>
      </c>
      <c r="AK48" s="19"/>
      <c r="AL48" s="19"/>
      <c r="AM48" s="19"/>
      <c r="AN48" s="19"/>
      <c r="AO48" s="30"/>
      <c r="AP48" s="19"/>
    </row>
    <row r="49" spans="1:42">
      <c r="A49" s="45"/>
      <c r="B49" s="32"/>
      <c r="C49" s="47"/>
      <c r="D49" s="32"/>
      <c r="E49" s="32"/>
      <c r="F49" s="32"/>
      <c r="G49" s="32" t="s">
        <v>74</v>
      </c>
      <c r="H49" s="53" t="s">
        <v>76</v>
      </c>
      <c r="I49" s="32" t="s">
        <v>77</v>
      </c>
      <c r="J49" s="34" t="s">
        <v>72</v>
      </c>
      <c r="K49" s="35">
        <f t="shared" ref="K49:AO49" si="11">IF(AND(ISBLANK(K47),ISBLANK(K48)),"A",IFERROR(+MOD(K48-K47,1),0))</f>
        <v>0.5</v>
      </c>
      <c r="L49" s="35">
        <f t="shared" si="11"/>
        <v>0.5</v>
      </c>
      <c r="M49" s="35" t="str">
        <f t="shared" si="11"/>
        <v>A</v>
      </c>
      <c r="N49" s="35">
        <f t="shared" si="11"/>
        <v>0.45833333333333337</v>
      </c>
      <c r="O49" s="35">
        <f t="shared" si="11"/>
        <v>0.37847222222222227</v>
      </c>
      <c r="P49" s="35">
        <f t="shared" si="11"/>
        <v>0.36111111111111116</v>
      </c>
      <c r="Q49" s="35">
        <f t="shared" si="11"/>
        <v>0.35763888888888884</v>
      </c>
      <c r="R49" s="35">
        <f t="shared" si="11"/>
        <v>0.375</v>
      </c>
      <c r="S49" s="35">
        <f>IF(AND(ISBLANK(S47),ISBLANK(S48)),"A",IFERROR(+MOD(S48-S47,1),0))</f>
        <v>0.375</v>
      </c>
      <c r="T49" s="35">
        <f t="shared" si="11"/>
        <v>0.36319444444444438</v>
      </c>
      <c r="U49" s="35">
        <f t="shared" si="11"/>
        <v>0.375</v>
      </c>
      <c r="V49" s="35" t="str">
        <f t="shared" si="11"/>
        <v>A</v>
      </c>
      <c r="W49" s="35" t="str">
        <f t="shared" si="11"/>
        <v>A</v>
      </c>
      <c r="X49" s="35" t="str">
        <f t="shared" si="11"/>
        <v>A</v>
      </c>
      <c r="Y49" s="35" t="str">
        <f t="shared" si="11"/>
        <v>A</v>
      </c>
      <c r="Z49" s="35" t="str">
        <f t="shared" si="11"/>
        <v>A</v>
      </c>
      <c r="AA49" s="35" t="str">
        <f t="shared" si="11"/>
        <v>A</v>
      </c>
      <c r="AB49" s="35" t="str">
        <f t="shared" si="11"/>
        <v>A</v>
      </c>
      <c r="AC49" s="35" t="str">
        <f t="shared" si="11"/>
        <v>A</v>
      </c>
      <c r="AD49" s="35" t="str">
        <f t="shared" si="11"/>
        <v>A</v>
      </c>
      <c r="AE49" s="35" t="str">
        <f t="shared" si="11"/>
        <v>A</v>
      </c>
      <c r="AF49" s="35" t="s">
        <v>71</v>
      </c>
      <c r="AG49" s="35" t="s">
        <v>71</v>
      </c>
      <c r="AH49" s="35" t="s">
        <v>71</v>
      </c>
      <c r="AI49" s="35" t="s">
        <v>71</v>
      </c>
      <c r="AJ49" s="35" t="s">
        <v>71</v>
      </c>
      <c r="AK49" s="35" t="str">
        <f t="shared" si="11"/>
        <v>A</v>
      </c>
      <c r="AL49" s="35" t="str">
        <f t="shared" si="11"/>
        <v>A</v>
      </c>
      <c r="AM49" s="35" t="str">
        <f t="shared" si="11"/>
        <v>A</v>
      </c>
      <c r="AN49" s="35" t="str">
        <f t="shared" si="11"/>
        <v>A</v>
      </c>
      <c r="AO49" s="35" t="str">
        <f t="shared" si="11"/>
        <v>A</v>
      </c>
      <c r="AP49" s="36"/>
    </row>
    <row r="50" spans="1:42">
      <c r="A50" s="25"/>
      <c r="B50" s="26"/>
      <c r="C50" s="39"/>
      <c r="D50" s="28"/>
      <c r="E50" s="28"/>
      <c r="F50" s="51"/>
      <c r="G50" s="28" t="s">
        <v>69</v>
      </c>
      <c r="H50" s="51" t="s">
        <v>70</v>
      </c>
      <c r="I50" s="28" t="s">
        <v>25</v>
      </c>
      <c r="J50" s="29" t="s">
        <v>13</v>
      </c>
      <c r="K50" s="25" t="s">
        <v>71</v>
      </c>
      <c r="L50" s="25" t="s">
        <v>34</v>
      </c>
      <c r="M50" s="25" t="s">
        <v>71</v>
      </c>
      <c r="N50" s="25" t="s">
        <v>34</v>
      </c>
      <c r="O50" s="25" t="s">
        <v>34</v>
      </c>
      <c r="P50" s="25" t="s">
        <v>34</v>
      </c>
      <c r="Q50" s="25" t="s">
        <v>34</v>
      </c>
      <c r="R50" s="25" t="s">
        <v>71</v>
      </c>
      <c r="S50" s="25" t="s">
        <v>71</v>
      </c>
      <c r="T50" s="25" t="s">
        <v>71</v>
      </c>
      <c r="U50" s="25" t="s">
        <v>34</v>
      </c>
      <c r="V50" s="25" t="s">
        <v>34</v>
      </c>
      <c r="W50" s="25" t="s">
        <v>34</v>
      </c>
      <c r="X50" s="25" t="s">
        <v>34</v>
      </c>
      <c r="Y50" s="25" t="s">
        <v>71</v>
      </c>
      <c r="Z50" s="25" t="s">
        <v>34</v>
      </c>
      <c r="AA50" s="25" t="s">
        <v>34</v>
      </c>
      <c r="AB50" s="25" t="s">
        <v>34</v>
      </c>
      <c r="AC50" s="25" t="s">
        <v>34</v>
      </c>
      <c r="AD50" s="25" t="s">
        <v>34</v>
      </c>
      <c r="AE50" s="25" t="s">
        <v>34</v>
      </c>
      <c r="AF50" s="25" t="s">
        <v>71</v>
      </c>
      <c r="AG50" s="25" t="s">
        <v>34</v>
      </c>
      <c r="AH50" s="25" t="s">
        <v>34</v>
      </c>
      <c r="AI50" s="25" t="s">
        <v>34</v>
      </c>
      <c r="AJ50" s="25" t="s">
        <v>34</v>
      </c>
      <c r="AK50" s="25"/>
      <c r="AL50" s="25"/>
      <c r="AM50" s="25"/>
      <c r="AN50" s="25"/>
      <c r="AO50" s="25"/>
      <c r="AP50" s="19">
        <f>COUNTIF(K50:AO50,"p")</f>
        <v>19</v>
      </c>
    </row>
    <row r="51" spans="1:42">
      <c r="A51" s="25"/>
      <c r="B51" s="26"/>
      <c r="C51" s="39"/>
      <c r="D51" s="28"/>
      <c r="E51" s="28"/>
      <c r="F51" s="51"/>
      <c r="G51" s="28" t="s">
        <v>69</v>
      </c>
      <c r="H51" s="51" t="s">
        <v>70</v>
      </c>
      <c r="I51" s="28" t="s">
        <v>25</v>
      </c>
      <c r="J51" s="29" t="s">
        <v>32</v>
      </c>
      <c r="K51" s="19"/>
      <c r="L51" s="30">
        <v>0.375</v>
      </c>
      <c r="M51" s="19"/>
      <c r="N51" s="30">
        <v>0.375</v>
      </c>
      <c r="O51" s="30">
        <v>0.37152777777777773</v>
      </c>
      <c r="P51" s="30">
        <v>0.375</v>
      </c>
      <c r="Q51" s="30">
        <v>0.375</v>
      </c>
      <c r="R51" s="30"/>
      <c r="S51" s="30"/>
      <c r="T51" s="30"/>
      <c r="U51" s="30">
        <v>0.38194444444444442</v>
      </c>
      <c r="V51" s="30">
        <v>0.37847222222222227</v>
      </c>
      <c r="W51" s="30">
        <v>0.375</v>
      </c>
      <c r="X51" s="30">
        <v>0.38194444444444442</v>
      </c>
      <c r="Y51" s="30"/>
      <c r="Z51" s="30">
        <v>0.375</v>
      </c>
      <c r="AA51" s="30">
        <v>0.375</v>
      </c>
      <c r="AB51" s="30">
        <v>0.375</v>
      </c>
      <c r="AC51" s="30">
        <v>0.375</v>
      </c>
      <c r="AD51" s="30">
        <v>0.375</v>
      </c>
      <c r="AE51" s="30">
        <v>0.37847222222222227</v>
      </c>
      <c r="AF51" s="30" t="s">
        <v>71</v>
      </c>
      <c r="AG51" s="30">
        <v>0.375</v>
      </c>
      <c r="AH51" s="30">
        <v>0.375</v>
      </c>
      <c r="AI51" s="30">
        <v>0.375</v>
      </c>
      <c r="AJ51" s="30">
        <v>0.375</v>
      </c>
      <c r="AK51" s="30"/>
      <c r="AL51" s="30"/>
      <c r="AM51" s="19"/>
      <c r="AN51" s="19"/>
      <c r="AO51" s="19"/>
      <c r="AP51" s="19"/>
    </row>
    <row r="52" spans="1:42">
      <c r="A52" s="25"/>
      <c r="B52" s="26"/>
      <c r="C52" s="39"/>
      <c r="D52" s="28"/>
      <c r="E52" s="28"/>
      <c r="F52" s="51"/>
      <c r="G52" s="28" t="s">
        <v>69</v>
      </c>
      <c r="H52" s="51" t="s">
        <v>70</v>
      </c>
      <c r="I52" s="28" t="s">
        <v>25</v>
      </c>
      <c r="J52" s="29" t="s">
        <v>33</v>
      </c>
      <c r="K52" s="19"/>
      <c r="L52" s="30">
        <v>0.76388888888888884</v>
      </c>
      <c r="M52" s="19"/>
      <c r="N52" s="30">
        <v>0.75</v>
      </c>
      <c r="O52" s="30">
        <v>0.79166666666666663</v>
      </c>
      <c r="P52" s="30">
        <v>0.79166666666666663</v>
      </c>
      <c r="Q52" s="30">
        <v>0.75</v>
      </c>
      <c r="R52" s="30"/>
      <c r="S52" s="30"/>
      <c r="T52" s="30"/>
      <c r="U52" s="30">
        <v>0.71666666666666667</v>
      </c>
      <c r="V52" s="30">
        <v>0.75694444444444453</v>
      </c>
      <c r="W52" s="30">
        <v>0.75</v>
      </c>
      <c r="X52" s="30">
        <v>0.75</v>
      </c>
      <c r="Y52" s="30"/>
      <c r="Z52" s="30">
        <v>0.75</v>
      </c>
      <c r="AA52" s="30">
        <v>0.45833333333333331</v>
      </c>
      <c r="AB52" s="30">
        <v>0.79861111111111116</v>
      </c>
      <c r="AC52" s="30">
        <v>0.75</v>
      </c>
      <c r="AD52" s="30">
        <v>0.79166666666666663</v>
      </c>
      <c r="AE52" s="30">
        <v>0.76388888888888884</v>
      </c>
      <c r="AF52" s="30" t="s">
        <v>71</v>
      </c>
      <c r="AG52" s="30">
        <v>0.79166666666666663</v>
      </c>
      <c r="AH52" s="30">
        <v>0.75</v>
      </c>
      <c r="AI52" s="30">
        <v>0.76041666666666663</v>
      </c>
      <c r="AJ52" s="30"/>
      <c r="AK52" s="30"/>
      <c r="AL52" s="30"/>
      <c r="AM52" s="19"/>
      <c r="AN52" s="19"/>
      <c r="AO52" s="19"/>
      <c r="AP52" s="19"/>
    </row>
    <row r="53" spans="1:42">
      <c r="A53" s="31"/>
      <c r="B53" s="32"/>
      <c r="C53" s="47"/>
      <c r="D53" s="32"/>
      <c r="E53" s="32"/>
      <c r="F53" s="53"/>
      <c r="G53" s="32" t="s">
        <v>69</v>
      </c>
      <c r="H53" s="53" t="s">
        <v>70</v>
      </c>
      <c r="I53" s="32" t="s">
        <v>25</v>
      </c>
      <c r="J53" s="34" t="s">
        <v>72</v>
      </c>
      <c r="K53" s="35" t="str">
        <f t="shared" ref="K53:AO53" si="12">IF(AND(ISBLANK(K51),ISBLANK(K52)),"A",IFERROR(+MOD(K52-K51,1),0))</f>
        <v>A</v>
      </c>
      <c r="L53" s="35">
        <f t="shared" si="12"/>
        <v>0.38888888888888884</v>
      </c>
      <c r="M53" s="35" t="str">
        <f t="shared" si="12"/>
        <v>A</v>
      </c>
      <c r="N53" s="35">
        <f t="shared" si="12"/>
        <v>0.375</v>
      </c>
      <c r="O53" s="35">
        <f t="shared" si="12"/>
        <v>0.4201388888888889</v>
      </c>
      <c r="P53" s="35">
        <f t="shared" si="12"/>
        <v>0.41666666666666663</v>
      </c>
      <c r="Q53" s="35">
        <f t="shared" si="12"/>
        <v>0.375</v>
      </c>
      <c r="R53" s="35" t="str">
        <f t="shared" si="12"/>
        <v>A</v>
      </c>
      <c r="S53" s="35" t="str">
        <f t="shared" si="12"/>
        <v>A</v>
      </c>
      <c r="T53" s="35" t="str">
        <f t="shared" si="12"/>
        <v>A</v>
      </c>
      <c r="U53" s="35">
        <f t="shared" si="12"/>
        <v>0.33472222222222225</v>
      </c>
      <c r="V53" s="35">
        <f t="shared" si="12"/>
        <v>0.37847222222222227</v>
      </c>
      <c r="W53" s="35">
        <f t="shared" si="12"/>
        <v>0.375</v>
      </c>
      <c r="X53" s="35">
        <f t="shared" si="12"/>
        <v>0.36805555555555558</v>
      </c>
      <c r="Y53" s="35" t="str">
        <f t="shared" si="12"/>
        <v>A</v>
      </c>
      <c r="Z53" s="35">
        <f t="shared" si="12"/>
        <v>0.375</v>
      </c>
      <c r="AA53" s="35">
        <f t="shared" si="12"/>
        <v>8.3333333333333315E-2</v>
      </c>
      <c r="AB53" s="35">
        <f t="shared" si="12"/>
        <v>0.42361111111111116</v>
      </c>
      <c r="AC53" s="35">
        <f t="shared" si="12"/>
        <v>0.375</v>
      </c>
      <c r="AD53" s="35">
        <f t="shared" si="12"/>
        <v>0.41666666666666663</v>
      </c>
      <c r="AE53" s="35">
        <f t="shared" si="12"/>
        <v>0.38541666666666657</v>
      </c>
      <c r="AF53" s="35" t="s">
        <v>71</v>
      </c>
      <c r="AG53" s="35">
        <f t="shared" si="12"/>
        <v>0.41666666666666663</v>
      </c>
      <c r="AH53" s="35">
        <f t="shared" si="12"/>
        <v>0.375</v>
      </c>
      <c r="AI53" s="35">
        <f t="shared" si="12"/>
        <v>0.38541666666666663</v>
      </c>
      <c r="AJ53" s="35">
        <f t="shared" si="12"/>
        <v>0.625</v>
      </c>
      <c r="AK53" s="35" t="str">
        <f t="shared" si="12"/>
        <v>A</v>
      </c>
      <c r="AL53" s="35" t="str">
        <f t="shared" si="12"/>
        <v>A</v>
      </c>
      <c r="AM53" s="35" t="str">
        <f t="shared" si="12"/>
        <v>A</v>
      </c>
      <c r="AN53" s="35" t="str">
        <f t="shared" si="12"/>
        <v>A</v>
      </c>
      <c r="AO53" s="35" t="str">
        <f t="shared" si="12"/>
        <v>A</v>
      </c>
      <c r="AP53" s="36"/>
    </row>
    <row r="54" spans="1:42">
      <c r="A54" s="25"/>
      <c r="B54" s="26"/>
      <c r="C54" s="39"/>
      <c r="D54" s="28"/>
      <c r="E54" s="51"/>
      <c r="F54" s="51"/>
      <c r="G54" s="28" t="s">
        <v>74</v>
      </c>
      <c r="H54" s="51" t="s">
        <v>76</v>
      </c>
      <c r="I54" s="28" t="s">
        <v>77</v>
      </c>
      <c r="J54" s="29" t="s">
        <v>13</v>
      </c>
      <c r="K54" s="25" t="s">
        <v>34</v>
      </c>
      <c r="L54" s="25" t="s">
        <v>34</v>
      </c>
      <c r="M54" s="25" t="s">
        <v>71</v>
      </c>
      <c r="N54" s="25" t="s">
        <v>34</v>
      </c>
      <c r="O54" s="25" t="s">
        <v>34</v>
      </c>
      <c r="P54" s="25" t="s">
        <v>71</v>
      </c>
      <c r="Q54" s="25" t="s">
        <v>71</v>
      </c>
      <c r="R54" s="25" t="s">
        <v>71</v>
      </c>
      <c r="S54" s="25" t="s">
        <v>71</v>
      </c>
      <c r="T54" s="25" t="s">
        <v>34</v>
      </c>
      <c r="U54" s="25" t="s">
        <v>34</v>
      </c>
      <c r="V54" s="25" t="s">
        <v>71</v>
      </c>
      <c r="W54" s="25" t="s">
        <v>71</v>
      </c>
      <c r="X54" s="25" t="s">
        <v>71</v>
      </c>
      <c r="Y54" s="25" t="s">
        <v>71</v>
      </c>
      <c r="Z54" s="25" t="s">
        <v>71</v>
      </c>
      <c r="AA54" s="25" t="s">
        <v>71</v>
      </c>
      <c r="AB54" s="25" t="s">
        <v>71</v>
      </c>
      <c r="AC54" s="25" t="s">
        <v>71</v>
      </c>
      <c r="AD54" s="25" t="s">
        <v>71</v>
      </c>
      <c r="AE54" s="25" t="s">
        <v>71</v>
      </c>
      <c r="AF54" s="25" t="s">
        <v>71</v>
      </c>
      <c r="AG54" s="25" t="s">
        <v>71</v>
      </c>
      <c r="AH54" s="52" t="s">
        <v>71</v>
      </c>
      <c r="AI54" s="25" t="s">
        <v>71</v>
      </c>
      <c r="AJ54" s="25" t="s">
        <v>71</v>
      </c>
      <c r="AK54" s="25" t="s">
        <v>71</v>
      </c>
      <c r="AL54" s="25" t="s">
        <v>71</v>
      </c>
      <c r="AM54" s="25" t="s">
        <v>71</v>
      </c>
      <c r="AN54" s="25" t="s">
        <v>71</v>
      </c>
      <c r="AO54" s="25" t="s">
        <v>71</v>
      </c>
      <c r="AP54" s="19">
        <f>COUNTIF(K54:AO54,"p")</f>
        <v>6</v>
      </c>
    </row>
    <row r="55" spans="1:42">
      <c r="A55" s="25"/>
      <c r="B55" s="26"/>
      <c r="C55" s="39"/>
      <c r="D55" s="28"/>
      <c r="E55" s="51"/>
      <c r="F55" s="51"/>
      <c r="G55" s="28" t="s">
        <v>74</v>
      </c>
      <c r="H55" s="51" t="s">
        <v>76</v>
      </c>
      <c r="I55" s="28" t="s">
        <v>77</v>
      </c>
      <c r="J55" s="29" t="s">
        <v>32</v>
      </c>
      <c r="K55" s="30">
        <v>0.80902777777777779</v>
      </c>
      <c r="L55" s="30">
        <v>0.80069444444444438</v>
      </c>
      <c r="M55" s="30"/>
      <c r="N55" s="30">
        <v>0.79166666666666663</v>
      </c>
      <c r="O55" s="30">
        <v>0.79166666666666663</v>
      </c>
      <c r="P55" s="30"/>
      <c r="Q55" s="30"/>
      <c r="R55" s="30"/>
      <c r="S55" s="30"/>
      <c r="T55" s="30">
        <v>0.79652777777777783</v>
      </c>
      <c r="U55" s="30">
        <v>0.79166666666666663</v>
      </c>
      <c r="V55" s="30"/>
      <c r="W55" s="30"/>
      <c r="X55" s="30"/>
      <c r="Y55" s="30"/>
      <c r="Z55" s="30"/>
      <c r="AA55" s="19"/>
      <c r="AB55" s="30"/>
      <c r="AC55" s="30"/>
      <c r="AD55" s="19"/>
      <c r="AE55" s="30"/>
      <c r="AF55" s="19" t="s">
        <v>71</v>
      </c>
      <c r="AG55" s="19" t="s">
        <v>71</v>
      </c>
      <c r="AH55" s="30" t="s">
        <v>71</v>
      </c>
      <c r="AI55" s="30" t="s">
        <v>71</v>
      </c>
      <c r="AJ55" s="30" t="s">
        <v>71</v>
      </c>
      <c r="AK55" s="30"/>
      <c r="AL55" s="30"/>
      <c r="AM55" s="30"/>
      <c r="AN55" s="30"/>
      <c r="AO55" s="30"/>
      <c r="AP55" s="19"/>
    </row>
    <row r="56" spans="1:42">
      <c r="A56" s="25"/>
      <c r="B56" s="26"/>
      <c r="C56" s="39"/>
      <c r="D56" s="28"/>
      <c r="E56" s="51"/>
      <c r="F56" s="51"/>
      <c r="G56" s="28" t="s">
        <v>74</v>
      </c>
      <c r="H56" s="51" t="s">
        <v>76</v>
      </c>
      <c r="I56" s="28" t="s">
        <v>77</v>
      </c>
      <c r="J56" s="29" t="s">
        <v>33</v>
      </c>
      <c r="K56" s="30">
        <v>0.16666666666666666</v>
      </c>
      <c r="L56" s="30">
        <v>0.16666666666666666</v>
      </c>
      <c r="M56" s="30"/>
      <c r="N56" s="30">
        <v>0.16666666666666666</v>
      </c>
      <c r="O56" s="30">
        <v>0.16666666666666666</v>
      </c>
      <c r="P56" s="30"/>
      <c r="Q56" s="30"/>
      <c r="R56" s="30"/>
      <c r="S56" s="30"/>
      <c r="T56" s="30">
        <v>0.16666666666666666</v>
      </c>
      <c r="U56" s="30">
        <v>0.16666666666666666</v>
      </c>
      <c r="V56" s="30"/>
      <c r="W56" s="30"/>
      <c r="X56" s="30"/>
      <c r="Y56" s="30"/>
      <c r="Z56" s="30"/>
      <c r="AA56" s="19"/>
      <c r="AB56" s="30"/>
      <c r="AC56" s="30"/>
      <c r="AD56" s="19"/>
      <c r="AE56" s="30"/>
      <c r="AF56" s="19" t="s">
        <v>71</v>
      </c>
      <c r="AG56" s="19" t="s">
        <v>71</v>
      </c>
      <c r="AH56" s="30" t="s">
        <v>71</v>
      </c>
      <c r="AI56" s="30" t="s">
        <v>71</v>
      </c>
      <c r="AJ56" s="30" t="s">
        <v>71</v>
      </c>
      <c r="AK56" s="30"/>
      <c r="AL56" s="30"/>
      <c r="AM56" s="30"/>
      <c r="AN56" s="30"/>
      <c r="AO56" s="30"/>
      <c r="AP56" s="19"/>
    </row>
    <row r="57" spans="1:42">
      <c r="A57" s="45"/>
      <c r="B57" s="32"/>
      <c r="C57" s="47"/>
      <c r="D57" s="32"/>
      <c r="E57" s="53"/>
      <c r="F57" s="53"/>
      <c r="G57" s="32" t="s">
        <v>74</v>
      </c>
      <c r="H57" s="53" t="s">
        <v>76</v>
      </c>
      <c r="I57" s="32" t="s">
        <v>77</v>
      </c>
      <c r="J57" s="34" t="s">
        <v>72</v>
      </c>
      <c r="K57" s="35">
        <f t="shared" ref="K57:AO57" si="13">IF(AND(ISBLANK(K55),ISBLANK(K56)),"A",IFERROR(+MOD(K56-K55,1),0))</f>
        <v>0.35763888888888884</v>
      </c>
      <c r="L57" s="35">
        <f t="shared" si="13"/>
        <v>0.36597222222222225</v>
      </c>
      <c r="M57" s="35" t="str">
        <f t="shared" si="13"/>
        <v>A</v>
      </c>
      <c r="N57" s="35">
        <f t="shared" si="13"/>
        <v>0.375</v>
      </c>
      <c r="O57" s="35">
        <f t="shared" si="13"/>
        <v>0.375</v>
      </c>
      <c r="P57" s="35" t="str">
        <f t="shared" si="13"/>
        <v>A</v>
      </c>
      <c r="Q57" s="35" t="str">
        <f t="shared" si="13"/>
        <v>A</v>
      </c>
      <c r="R57" s="35" t="str">
        <f t="shared" si="13"/>
        <v>A</v>
      </c>
      <c r="S57" s="35" t="str">
        <f t="shared" si="13"/>
        <v>A</v>
      </c>
      <c r="T57" s="35">
        <f t="shared" si="13"/>
        <v>0.3701388888888888</v>
      </c>
      <c r="U57" s="35">
        <f t="shared" si="13"/>
        <v>0.375</v>
      </c>
      <c r="V57" s="35" t="str">
        <f t="shared" si="13"/>
        <v>A</v>
      </c>
      <c r="W57" s="35" t="str">
        <f t="shared" si="13"/>
        <v>A</v>
      </c>
      <c r="X57" s="35" t="str">
        <f t="shared" si="13"/>
        <v>A</v>
      </c>
      <c r="Y57" s="35" t="str">
        <f t="shared" si="13"/>
        <v>A</v>
      </c>
      <c r="Z57" s="35" t="str">
        <f t="shared" si="13"/>
        <v>A</v>
      </c>
      <c r="AA57" s="35" t="str">
        <f t="shared" si="13"/>
        <v>A</v>
      </c>
      <c r="AB57" s="35" t="str">
        <f t="shared" si="13"/>
        <v>A</v>
      </c>
      <c r="AC57" s="35" t="str">
        <f t="shared" si="13"/>
        <v>A</v>
      </c>
      <c r="AD57" s="35" t="str">
        <f t="shared" si="13"/>
        <v>A</v>
      </c>
      <c r="AE57" s="35" t="str">
        <f t="shared" si="13"/>
        <v>A</v>
      </c>
      <c r="AF57" s="35" t="s">
        <v>71</v>
      </c>
      <c r="AG57" s="35" t="s">
        <v>71</v>
      </c>
      <c r="AH57" s="35" t="s">
        <v>71</v>
      </c>
      <c r="AI57" s="35" t="s">
        <v>71</v>
      </c>
      <c r="AJ57" s="35" t="s">
        <v>71</v>
      </c>
      <c r="AK57" s="35" t="str">
        <f t="shared" si="13"/>
        <v>A</v>
      </c>
      <c r="AL57" s="35" t="str">
        <f t="shared" si="13"/>
        <v>A</v>
      </c>
      <c r="AM57" s="35" t="str">
        <f t="shared" si="13"/>
        <v>A</v>
      </c>
      <c r="AN57" s="35" t="str">
        <f t="shared" si="13"/>
        <v>A</v>
      </c>
      <c r="AO57" s="35" t="str">
        <f t="shared" si="13"/>
        <v>A</v>
      </c>
      <c r="AP57" s="36"/>
    </row>
    <row r="58" spans="1:42">
      <c r="A58" s="25"/>
      <c r="B58" s="26"/>
      <c r="C58" s="39"/>
      <c r="D58" s="28"/>
      <c r="E58" s="28"/>
      <c r="F58" s="56"/>
      <c r="G58" s="28" t="s">
        <v>74</v>
      </c>
      <c r="H58" s="51" t="s">
        <v>70</v>
      </c>
      <c r="I58" s="28" t="s">
        <v>25</v>
      </c>
      <c r="J58" s="29" t="s">
        <v>13</v>
      </c>
      <c r="K58" s="25" t="s">
        <v>34</v>
      </c>
      <c r="L58" s="25" t="s">
        <v>34</v>
      </c>
      <c r="M58" s="25" t="s">
        <v>75</v>
      </c>
      <c r="N58" s="25" t="s">
        <v>34</v>
      </c>
      <c r="O58" s="25" t="s">
        <v>34</v>
      </c>
      <c r="P58" s="25" t="s">
        <v>34</v>
      </c>
      <c r="Q58" s="25" t="s">
        <v>34</v>
      </c>
      <c r="R58" s="25" t="s">
        <v>34</v>
      </c>
      <c r="S58" s="25" t="s">
        <v>47</v>
      </c>
      <c r="T58" s="25" t="s">
        <v>75</v>
      </c>
      <c r="U58" s="25" t="s">
        <v>34</v>
      </c>
      <c r="V58" s="25" t="s">
        <v>34</v>
      </c>
      <c r="W58" s="25" t="s">
        <v>34</v>
      </c>
      <c r="X58" s="25" t="s">
        <v>34</v>
      </c>
      <c r="Y58" s="25" t="s">
        <v>47</v>
      </c>
      <c r="Z58" s="25" t="s">
        <v>34</v>
      </c>
      <c r="AA58" s="25" t="s">
        <v>75</v>
      </c>
      <c r="AB58" s="25" t="s">
        <v>34</v>
      </c>
      <c r="AC58" s="25" t="s">
        <v>34</v>
      </c>
      <c r="AD58" s="25" t="s">
        <v>71</v>
      </c>
      <c r="AE58" s="54" t="s">
        <v>34</v>
      </c>
      <c r="AF58" s="25" t="s">
        <v>34</v>
      </c>
      <c r="AG58" s="25" t="s">
        <v>34</v>
      </c>
      <c r="AH58" s="25" t="s">
        <v>34</v>
      </c>
      <c r="AI58" s="25" t="s">
        <v>34</v>
      </c>
      <c r="AJ58" s="25" t="s">
        <v>34</v>
      </c>
      <c r="AK58" s="25"/>
      <c r="AL58" s="25"/>
      <c r="AM58" s="25"/>
      <c r="AN58" s="25"/>
      <c r="AO58" s="25"/>
      <c r="AP58" s="19">
        <f>COUNTIF(K58:AO58,"p")</f>
        <v>20</v>
      </c>
    </row>
    <row r="59" spans="1:42">
      <c r="A59" s="25"/>
      <c r="B59" s="28"/>
      <c r="C59" s="39"/>
      <c r="D59" s="28"/>
      <c r="E59" s="28"/>
      <c r="F59" s="56"/>
      <c r="G59" s="28" t="s">
        <v>74</v>
      </c>
      <c r="H59" s="51" t="s">
        <v>70</v>
      </c>
      <c r="I59" s="28" t="s">
        <v>25</v>
      </c>
      <c r="J59" s="29" t="s">
        <v>32</v>
      </c>
      <c r="K59" s="30">
        <v>0.375</v>
      </c>
      <c r="L59" s="30">
        <v>0.375</v>
      </c>
      <c r="M59" s="30"/>
      <c r="N59" s="30">
        <v>0.375</v>
      </c>
      <c r="O59" s="30">
        <v>0.375</v>
      </c>
      <c r="P59" s="30">
        <v>0.375</v>
      </c>
      <c r="Q59" s="30">
        <v>0.375</v>
      </c>
      <c r="R59" s="30">
        <v>0.375</v>
      </c>
      <c r="S59" s="30"/>
      <c r="T59" s="30"/>
      <c r="U59" s="30">
        <v>0.375</v>
      </c>
      <c r="V59" s="30">
        <v>0.375</v>
      </c>
      <c r="W59" s="30">
        <v>0.375</v>
      </c>
      <c r="X59" s="30">
        <v>0.375</v>
      </c>
      <c r="Y59" s="30"/>
      <c r="Z59" s="30">
        <v>0.375</v>
      </c>
      <c r="AA59" s="30"/>
      <c r="AB59" s="30">
        <v>0.375</v>
      </c>
      <c r="AC59" s="30">
        <v>0.375</v>
      </c>
      <c r="AD59" s="19"/>
      <c r="AE59" s="55">
        <v>0.375</v>
      </c>
      <c r="AF59" s="30">
        <v>0.375</v>
      </c>
      <c r="AG59" s="30">
        <v>0.375</v>
      </c>
      <c r="AH59" s="30">
        <v>0.375</v>
      </c>
      <c r="AI59" s="30">
        <v>0.375</v>
      </c>
      <c r="AJ59" s="30">
        <v>0.375</v>
      </c>
      <c r="AK59" s="19"/>
      <c r="AL59" s="30"/>
      <c r="AM59" s="30"/>
      <c r="AN59" s="30"/>
      <c r="AO59" s="30"/>
      <c r="AP59" s="19"/>
    </row>
    <row r="60" spans="1:42">
      <c r="A60" s="25"/>
      <c r="B60" s="28"/>
      <c r="C60" s="39"/>
      <c r="D60" s="28"/>
      <c r="E60" s="28"/>
      <c r="F60" s="56"/>
      <c r="G60" s="28" t="s">
        <v>74</v>
      </c>
      <c r="H60" s="51" t="s">
        <v>70</v>
      </c>
      <c r="I60" s="28" t="s">
        <v>25</v>
      </c>
      <c r="J60" s="29" t="s">
        <v>33</v>
      </c>
      <c r="K60" s="30">
        <v>0.75</v>
      </c>
      <c r="L60" s="30">
        <v>0.75</v>
      </c>
      <c r="M60" s="30"/>
      <c r="N60" s="30">
        <v>0.75</v>
      </c>
      <c r="O60" s="30">
        <v>0.79166666666666663</v>
      </c>
      <c r="P60" s="30">
        <v>0.7583333333333333</v>
      </c>
      <c r="Q60" s="30">
        <v>0.75</v>
      </c>
      <c r="R60" s="30">
        <v>0.75</v>
      </c>
      <c r="S60" s="30"/>
      <c r="T60" s="30"/>
      <c r="U60" s="30">
        <v>0.75</v>
      </c>
      <c r="V60" s="30">
        <v>0.79166666666666663</v>
      </c>
      <c r="W60" s="30">
        <v>0.75</v>
      </c>
      <c r="X60" s="30">
        <v>0.75</v>
      </c>
      <c r="Y60" s="30"/>
      <c r="Z60" s="30">
        <v>0.75</v>
      </c>
      <c r="AA60" s="30"/>
      <c r="AB60" s="30">
        <v>0.75</v>
      </c>
      <c r="AC60" s="30">
        <v>0.75</v>
      </c>
      <c r="AD60" s="19"/>
      <c r="AE60" s="55">
        <v>0.79166666666666663</v>
      </c>
      <c r="AF60" s="30">
        <v>0.79166666666666663</v>
      </c>
      <c r="AG60" s="30">
        <v>0.75</v>
      </c>
      <c r="AH60" s="30">
        <v>0.75</v>
      </c>
      <c r="AI60" s="30">
        <v>0.76041666666666663</v>
      </c>
      <c r="AJ60" s="25"/>
      <c r="AK60" s="19"/>
      <c r="AL60" s="30"/>
      <c r="AM60" s="30"/>
      <c r="AN60" s="30"/>
      <c r="AO60" s="30"/>
      <c r="AP60" s="19"/>
    </row>
    <row r="61" spans="1:42">
      <c r="A61" s="45"/>
      <c r="B61" s="32"/>
      <c r="C61" s="47"/>
      <c r="D61" s="32"/>
      <c r="E61" s="32"/>
      <c r="F61" s="57"/>
      <c r="G61" s="32" t="s">
        <v>74</v>
      </c>
      <c r="H61" s="53" t="s">
        <v>70</v>
      </c>
      <c r="I61" s="32" t="s">
        <v>25</v>
      </c>
      <c r="J61" s="34" t="s">
        <v>72</v>
      </c>
      <c r="K61" s="35">
        <f t="shared" ref="K61:AO61" si="14">IF(AND(ISBLANK(K59),ISBLANK(K60)),"A",IFERROR(+MOD(K60-K59,1),0))</f>
        <v>0.375</v>
      </c>
      <c r="L61" s="35">
        <f t="shared" si="14"/>
        <v>0.375</v>
      </c>
      <c r="M61" s="35" t="str">
        <f t="shared" si="14"/>
        <v>A</v>
      </c>
      <c r="N61" s="35">
        <f t="shared" si="14"/>
        <v>0.375</v>
      </c>
      <c r="O61" s="35">
        <f t="shared" si="14"/>
        <v>0.41666666666666663</v>
      </c>
      <c r="P61" s="35">
        <f t="shared" si="14"/>
        <v>0.3833333333333333</v>
      </c>
      <c r="Q61" s="35">
        <f t="shared" si="14"/>
        <v>0.375</v>
      </c>
      <c r="R61" s="35">
        <f t="shared" si="14"/>
        <v>0.375</v>
      </c>
      <c r="S61" s="35" t="str">
        <f t="shared" si="14"/>
        <v>A</v>
      </c>
      <c r="T61" s="35" t="str">
        <f t="shared" si="14"/>
        <v>A</v>
      </c>
      <c r="U61" s="35">
        <f t="shared" si="14"/>
        <v>0.375</v>
      </c>
      <c r="V61" s="35">
        <f t="shared" si="14"/>
        <v>0.41666666666666663</v>
      </c>
      <c r="W61" s="35">
        <f t="shared" si="14"/>
        <v>0.375</v>
      </c>
      <c r="X61" s="35">
        <f t="shared" si="14"/>
        <v>0.375</v>
      </c>
      <c r="Y61" s="35" t="str">
        <f t="shared" si="14"/>
        <v>A</v>
      </c>
      <c r="Z61" s="35">
        <f t="shared" si="14"/>
        <v>0.375</v>
      </c>
      <c r="AA61" s="35" t="str">
        <f t="shared" si="14"/>
        <v>A</v>
      </c>
      <c r="AB61" s="35">
        <f t="shared" si="14"/>
        <v>0.375</v>
      </c>
      <c r="AC61" s="35">
        <f t="shared" si="14"/>
        <v>0.375</v>
      </c>
      <c r="AD61" s="35" t="str">
        <f t="shared" si="14"/>
        <v>A</v>
      </c>
      <c r="AE61" s="35">
        <f t="shared" si="14"/>
        <v>0.41666666666666663</v>
      </c>
      <c r="AF61" s="35">
        <f t="shared" si="14"/>
        <v>0.41666666666666663</v>
      </c>
      <c r="AG61" s="35">
        <f t="shared" si="14"/>
        <v>0.375</v>
      </c>
      <c r="AH61" s="35">
        <f t="shared" si="14"/>
        <v>0.375</v>
      </c>
      <c r="AI61" s="35">
        <f t="shared" si="14"/>
        <v>0.38541666666666663</v>
      </c>
      <c r="AJ61" s="35">
        <f t="shared" si="14"/>
        <v>0.625</v>
      </c>
      <c r="AK61" s="35" t="str">
        <f t="shared" si="14"/>
        <v>A</v>
      </c>
      <c r="AL61" s="35" t="str">
        <f t="shared" si="14"/>
        <v>A</v>
      </c>
      <c r="AM61" s="35" t="str">
        <f t="shared" si="14"/>
        <v>A</v>
      </c>
      <c r="AN61" s="35" t="str">
        <f t="shared" si="14"/>
        <v>A</v>
      </c>
      <c r="AO61" s="35" t="str">
        <f t="shared" si="14"/>
        <v>A</v>
      </c>
      <c r="AP61" s="36"/>
    </row>
    <row r="62" spans="1:42">
      <c r="A62" s="25"/>
      <c r="B62" s="26"/>
      <c r="C62" s="39"/>
      <c r="D62" s="28"/>
      <c r="E62" s="28"/>
      <c r="F62" s="28"/>
      <c r="G62" s="28" t="s">
        <v>74</v>
      </c>
      <c r="H62" s="51" t="s">
        <v>70</v>
      </c>
      <c r="I62" s="28" t="s">
        <v>25</v>
      </c>
      <c r="J62" s="29" t="s">
        <v>13</v>
      </c>
      <c r="K62" s="25" t="s">
        <v>34</v>
      </c>
      <c r="L62" s="25" t="s">
        <v>34</v>
      </c>
      <c r="M62" s="25" t="s">
        <v>75</v>
      </c>
      <c r="N62" s="25" t="s">
        <v>34</v>
      </c>
      <c r="O62" s="25" t="s">
        <v>34</v>
      </c>
      <c r="P62" s="25" t="s">
        <v>34</v>
      </c>
      <c r="Q62" s="25" t="s">
        <v>34</v>
      </c>
      <c r="R62" s="25" t="s">
        <v>34</v>
      </c>
      <c r="S62" s="25" t="s">
        <v>47</v>
      </c>
      <c r="T62" s="25" t="s">
        <v>75</v>
      </c>
      <c r="U62" s="25" t="s">
        <v>34</v>
      </c>
      <c r="V62" s="54" t="s">
        <v>34</v>
      </c>
      <c r="W62" s="25" t="s">
        <v>34</v>
      </c>
      <c r="X62" s="25" t="s">
        <v>34</v>
      </c>
      <c r="Y62" s="25" t="s">
        <v>47</v>
      </c>
      <c r="Z62" s="25" t="s">
        <v>34</v>
      </c>
      <c r="AA62" s="25" t="s">
        <v>71</v>
      </c>
      <c r="AB62" s="25" t="s">
        <v>71</v>
      </c>
      <c r="AC62" s="25" t="s">
        <v>34</v>
      </c>
      <c r="AD62" s="25" t="s">
        <v>34</v>
      </c>
      <c r="AE62" s="25" t="s">
        <v>34</v>
      </c>
      <c r="AF62" s="25" t="s">
        <v>34</v>
      </c>
      <c r="AG62" s="25" t="s">
        <v>34</v>
      </c>
      <c r="AH62" s="25" t="s">
        <v>71</v>
      </c>
      <c r="AI62" s="25" t="s">
        <v>34</v>
      </c>
      <c r="AJ62" s="25" t="s">
        <v>34</v>
      </c>
      <c r="AK62" s="25"/>
      <c r="AL62" s="25"/>
      <c r="AM62" s="25"/>
      <c r="AN62" s="25"/>
      <c r="AO62" s="25"/>
      <c r="AP62" s="19">
        <f>COUNTIF(K62:AO62,"p")</f>
        <v>19</v>
      </c>
    </row>
    <row r="63" spans="1:42">
      <c r="A63" s="25"/>
      <c r="B63" s="26"/>
      <c r="C63" s="39"/>
      <c r="D63" s="28"/>
      <c r="E63" s="28"/>
      <c r="F63" s="28"/>
      <c r="G63" s="28" t="s">
        <v>74</v>
      </c>
      <c r="H63" s="51" t="s">
        <v>70</v>
      </c>
      <c r="I63" s="28" t="s">
        <v>25</v>
      </c>
      <c r="J63" s="29" t="s">
        <v>32</v>
      </c>
      <c r="K63" s="30">
        <v>0.375</v>
      </c>
      <c r="L63" s="30">
        <v>0.375</v>
      </c>
      <c r="M63" s="30"/>
      <c r="N63" s="30">
        <v>0.375</v>
      </c>
      <c r="O63" s="30">
        <v>0.375</v>
      </c>
      <c r="P63" s="30">
        <v>0.375</v>
      </c>
      <c r="Q63" s="30">
        <v>0.375</v>
      </c>
      <c r="R63" s="30">
        <v>0.375</v>
      </c>
      <c r="S63" s="30"/>
      <c r="T63" s="30"/>
      <c r="U63" s="30">
        <v>0.37847222222222227</v>
      </c>
      <c r="V63" s="55">
        <v>0.375</v>
      </c>
      <c r="W63" s="30">
        <v>0.375</v>
      </c>
      <c r="X63" s="30">
        <v>0.375</v>
      </c>
      <c r="Y63" s="30"/>
      <c r="Z63" s="30">
        <v>0.375</v>
      </c>
      <c r="AA63" s="30"/>
      <c r="AB63" s="30"/>
      <c r="AC63" s="30">
        <v>0.375</v>
      </c>
      <c r="AD63" s="30">
        <v>0.375</v>
      </c>
      <c r="AE63" s="30">
        <v>0.375</v>
      </c>
      <c r="AF63" s="30">
        <v>0.375</v>
      </c>
      <c r="AG63" s="30">
        <v>0.375</v>
      </c>
      <c r="AH63" s="30" t="s">
        <v>71</v>
      </c>
      <c r="AI63" s="30">
        <v>0.375</v>
      </c>
      <c r="AJ63" s="30">
        <v>0.375</v>
      </c>
      <c r="AK63" s="19"/>
      <c r="AL63" s="30"/>
      <c r="AM63" s="30"/>
      <c r="AN63" s="30"/>
      <c r="AO63" s="30"/>
      <c r="AP63" s="19"/>
    </row>
    <row r="64" spans="1:42">
      <c r="A64" s="25"/>
      <c r="B64" s="26"/>
      <c r="C64" s="39"/>
      <c r="D64" s="28"/>
      <c r="E64" s="28"/>
      <c r="F64" s="28"/>
      <c r="G64" s="28" t="s">
        <v>74</v>
      </c>
      <c r="H64" s="51" t="s">
        <v>70</v>
      </c>
      <c r="I64" s="28" t="s">
        <v>25</v>
      </c>
      <c r="J64" s="29" t="s">
        <v>33</v>
      </c>
      <c r="K64" s="30">
        <v>0.75</v>
      </c>
      <c r="L64" s="30">
        <v>0.75</v>
      </c>
      <c r="M64" s="30"/>
      <c r="N64" s="30">
        <v>0.75</v>
      </c>
      <c r="O64" s="30">
        <v>0.79166666666666663</v>
      </c>
      <c r="P64" s="30">
        <v>0.7583333333333333</v>
      </c>
      <c r="Q64" s="30">
        <v>0.75</v>
      </c>
      <c r="R64" s="30">
        <v>0.75</v>
      </c>
      <c r="S64" s="30"/>
      <c r="T64" s="30"/>
      <c r="U64" s="30">
        <v>0.75</v>
      </c>
      <c r="V64" s="55">
        <v>0.79166666666666663</v>
      </c>
      <c r="W64" s="30">
        <v>0.75</v>
      </c>
      <c r="X64" s="30">
        <v>0.75</v>
      </c>
      <c r="Y64" s="30"/>
      <c r="Z64" s="30">
        <v>0.75</v>
      </c>
      <c r="AA64" s="30"/>
      <c r="AB64" s="30"/>
      <c r="AC64" s="30">
        <v>0.75</v>
      </c>
      <c r="AD64" s="30">
        <v>0.81944444444444453</v>
      </c>
      <c r="AE64" s="30">
        <v>0.79166666666666663</v>
      </c>
      <c r="AF64" s="30">
        <v>0.79166666666666663</v>
      </c>
      <c r="AG64" s="30">
        <v>0.78819444444444453</v>
      </c>
      <c r="AH64" s="30" t="s">
        <v>71</v>
      </c>
      <c r="AI64" s="30">
        <v>0.76041666666666663</v>
      </c>
      <c r="AJ64" s="30"/>
      <c r="AK64" s="19"/>
      <c r="AL64" s="30"/>
      <c r="AM64" s="30"/>
      <c r="AN64" s="30"/>
      <c r="AO64" s="30"/>
      <c r="AP64" s="19"/>
    </row>
    <row r="65" spans="1:42">
      <c r="A65" s="45"/>
      <c r="B65" s="32"/>
      <c r="C65" s="47"/>
      <c r="D65" s="32"/>
      <c r="E65" s="32"/>
      <c r="F65" s="32"/>
      <c r="G65" s="32" t="s">
        <v>74</v>
      </c>
      <c r="H65" s="53" t="s">
        <v>70</v>
      </c>
      <c r="I65" s="32" t="s">
        <v>25</v>
      </c>
      <c r="J65" s="34" t="s">
        <v>72</v>
      </c>
      <c r="K65" s="35">
        <f t="shared" ref="K65:AO65" si="15">IF(AND(ISBLANK(K63),ISBLANK(K64)),"A",IFERROR(+MOD(K64-K63,1),0))</f>
        <v>0.375</v>
      </c>
      <c r="L65" s="35">
        <f t="shared" si="15"/>
        <v>0.375</v>
      </c>
      <c r="M65" s="35" t="str">
        <f t="shared" si="15"/>
        <v>A</v>
      </c>
      <c r="N65" s="35">
        <f t="shared" si="15"/>
        <v>0.375</v>
      </c>
      <c r="O65" s="35">
        <f t="shared" si="15"/>
        <v>0.41666666666666663</v>
      </c>
      <c r="P65" s="35">
        <f t="shared" si="15"/>
        <v>0.3833333333333333</v>
      </c>
      <c r="Q65" s="35">
        <f t="shared" si="15"/>
        <v>0.375</v>
      </c>
      <c r="R65" s="35">
        <f t="shared" si="15"/>
        <v>0.375</v>
      </c>
      <c r="S65" s="35" t="str">
        <f t="shared" si="15"/>
        <v>A</v>
      </c>
      <c r="T65" s="35" t="str">
        <f t="shared" si="15"/>
        <v>A</v>
      </c>
      <c r="U65" s="35">
        <f t="shared" si="15"/>
        <v>0.37152777777777773</v>
      </c>
      <c r="V65" s="35">
        <f t="shared" si="15"/>
        <v>0.41666666666666663</v>
      </c>
      <c r="W65" s="35">
        <f t="shared" si="15"/>
        <v>0.375</v>
      </c>
      <c r="X65" s="35">
        <f t="shared" si="15"/>
        <v>0.375</v>
      </c>
      <c r="Y65" s="35" t="str">
        <f t="shared" si="15"/>
        <v>A</v>
      </c>
      <c r="Z65" s="35">
        <f t="shared" si="15"/>
        <v>0.375</v>
      </c>
      <c r="AA65" s="35" t="str">
        <f t="shared" si="15"/>
        <v>A</v>
      </c>
      <c r="AB65" s="35" t="str">
        <f t="shared" si="15"/>
        <v>A</v>
      </c>
      <c r="AC65" s="35">
        <f t="shared" si="15"/>
        <v>0.375</v>
      </c>
      <c r="AD65" s="35">
        <f t="shared" si="15"/>
        <v>0.44444444444444453</v>
      </c>
      <c r="AE65" s="35">
        <f t="shared" si="15"/>
        <v>0.41666666666666663</v>
      </c>
      <c r="AF65" s="35">
        <f t="shared" si="15"/>
        <v>0.41666666666666663</v>
      </c>
      <c r="AG65" s="35">
        <f t="shared" si="15"/>
        <v>0.41319444444444453</v>
      </c>
      <c r="AH65" s="35" t="s">
        <v>71</v>
      </c>
      <c r="AI65" s="35">
        <f t="shared" si="15"/>
        <v>0.38541666666666663</v>
      </c>
      <c r="AJ65" s="35">
        <f t="shared" si="15"/>
        <v>0.625</v>
      </c>
      <c r="AK65" s="35" t="str">
        <f t="shared" si="15"/>
        <v>A</v>
      </c>
      <c r="AL65" s="35" t="str">
        <f t="shared" si="15"/>
        <v>A</v>
      </c>
      <c r="AM65" s="35" t="str">
        <f t="shared" si="15"/>
        <v>A</v>
      </c>
      <c r="AN65" s="35" t="str">
        <f t="shared" si="15"/>
        <v>A</v>
      </c>
      <c r="AO65" s="35" t="str">
        <f t="shared" si="15"/>
        <v>A</v>
      </c>
      <c r="AP65" s="36"/>
    </row>
    <row r="66" spans="1:42">
      <c r="A66" s="58"/>
      <c r="B66" s="26"/>
      <c r="C66" s="39"/>
      <c r="D66" s="28"/>
      <c r="E66" s="28"/>
      <c r="F66" s="28"/>
      <c r="G66" s="28" t="s">
        <v>74</v>
      </c>
      <c r="H66" s="51" t="s">
        <v>76</v>
      </c>
      <c r="I66" s="28" t="s">
        <v>77</v>
      </c>
      <c r="J66" s="29" t="s">
        <v>13</v>
      </c>
      <c r="K66" s="25" t="s">
        <v>71</v>
      </c>
      <c r="L66" s="25" t="s">
        <v>71</v>
      </c>
      <c r="M66" s="25" t="s">
        <v>71</v>
      </c>
      <c r="N66" s="25" t="s">
        <v>34</v>
      </c>
      <c r="O66" s="25" t="s">
        <v>34</v>
      </c>
      <c r="P66" s="25" t="s">
        <v>71</v>
      </c>
      <c r="Q66" s="25" t="s">
        <v>71</v>
      </c>
      <c r="R66" s="25" t="s">
        <v>71</v>
      </c>
      <c r="S66" s="25" t="s">
        <v>71</v>
      </c>
      <c r="T66" s="25" t="s">
        <v>71</v>
      </c>
      <c r="U66" s="25" t="s">
        <v>71</v>
      </c>
      <c r="V66" s="25" t="s">
        <v>71</v>
      </c>
      <c r="W66" s="25" t="s">
        <v>71</v>
      </c>
      <c r="X66" s="25" t="s">
        <v>71</v>
      </c>
      <c r="Y66" s="25" t="s">
        <v>71</v>
      </c>
      <c r="Z66" s="25" t="s">
        <v>71</v>
      </c>
      <c r="AA66" s="25" t="s">
        <v>71</v>
      </c>
      <c r="AB66" s="25" t="s">
        <v>71</v>
      </c>
      <c r="AC66" s="25" t="s">
        <v>71</v>
      </c>
      <c r="AD66" s="25" t="s">
        <v>71</v>
      </c>
      <c r="AE66" s="25" t="s">
        <v>71</v>
      </c>
      <c r="AF66" s="25" t="s">
        <v>71</v>
      </c>
      <c r="AG66" s="25" t="s">
        <v>71</v>
      </c>
      <c r="AH66" s="52" t="s">
        <v>71</v>
      </c>
      <c r="AI66" s="25" t="s">
        <v>71</v>
      </c>
      <c r="AJ66" s="25" t="s">
        <v>71</v>
      </c>
      <c r="AK66" s="25" t="s">
        <v>71</v>
      </c>
      <c r="AL66" s="25" t="s">
        <v>71</v>
      </c>
      <c r="AM66" s="25" t="s">
        <v>71</v>
      </c>
      <c r="AN66" s="25" t="s">
        <v>71</v>
      </c>
      <c r="AO66" s="25" t="s">
        <v>71</v>
      </c>
      <c r="AP66" s="19">
        <f>COUNTIF(K66:AO66,"p")</f>
        <v>2</v>
      </c>
    </row>
    <row r="67" spans="1:42">
      <c r="A67" s="58"/>
      <c r="B67" s="26"/>
      <c r="C67" s="39"/>
      <c r="D67" s="28"/>
      <c r="E67" s="28"/>
      <c r="F67" s="28"/>
      <c r="G67" s="28" t="s">
        <v>74</v>
      </c>
      <c r="H67" s="51" t="s">
        <v>76</v>
      </c>
      <c r="I67" s="28" t="s">
        <v>77</v>
      </c>
      <c r="J67" s="29" t="s">
        <v>32</v>
      </c>
      <c r="K67" s="30"/>
      <c r="L67" s="30"/>
      <c r="M67" s="30"/>
      <c r="N67" s="30">
        <v>0.3888888888888889</v>
      </c>
      <c r="O67" s="30">
        <v>0.38194444444444442</v>
      </c>
      <c r="P67" s="30">
        <v>0.375</v>
      </c>
      <c r="Q67" s="30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 t="s">
        <v>71</v>
      </c>
      <c r="AG67" s="19" t="s">
        <v>71</v>
      </c>
      <c r="AH67" s="30" t="s">
        <v>71</v>
      </c>
      <c r="AI67" s="30" t="s">
        <v>71</v>
      </c>
      <c r="AJ67" s="30" t="s">
        <v>71</v>
      </c>
      <c r="AK67" s="19"/>
      <c r="AL67" s="30"/>
      <c r="AM67" s="30"/>
      <c r="AN67" s="30"/>
      <c r="AO67" s="30"/>
      <c r="AP67" s="19"/>
    </row>
    <row r="68" spans="1:42">
      <c r="A68" s="58"/>
      <c r="B68" s="26"/>
      <c r="C68" s="39"/>
      <c r="D68" s="28"/>
      <c r="E68" s="28"/>
      <c r="F68" s="28"/>
      <c r="G68" s="28" t="s">
        <v>74</v>
      </c>
      <c r="H68" s="51" t="s">
        <v>76</v>
      </c>
      <c r="I68" s="28" t="s">
        <v>77</v>
      </c>
      <c r="J68" s="29" t="s">
        <v>33</v>
      </c>
      <c r="K68" s="30"/>
      <c r="L68" s="30"/>
      <c r="M68" s="30"/>
      <c r="N68" s="30">
        <v>0.75</v>
      </c>
      <c r="O68" s="30">
        <v>0.75</v>
      </c>
      <c r="P68" s="30">
        <v>0.43124999999999997</v>
      </c>
      <c r="Q68" s="30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 t="s">
        <v>71</v>
      </c>
      <c r="AG68" s="19" t="s">
        <v>71</v>
      </c>
      <c r="AH68" s="30" t="s">
        <v>71</v>
      </c>
      <c r="AI68" s="30" t="s">
        <v>71</v>
      </c>
      <c r="AJ68" s="30" t="s">
        <v>71</v>
      </c>
      <c r="AK68" s="19"/>
      <c r="AL68" s="30"/>
      <c r="AM68" s="30"/>
      <c r="AN68" s="30"/>
      <c r="AO68" s="30"/>
      <c r="AP68" s="19"/>
    </row>
    <row r="69" spans="1:42">
      <c r="A69" s="59"/>
      <c r="B69" s="32"/>
      <c r="C69" s="33"/>
      <c r="D69" s="32"/>
      <c r="E69" s="32"/>
      <c r="F69" s="32"/>
      <c r="G69" s="32" t="s">
        <v>74</v>
      </c>
      <c r="H69" s="53" t="s">
        <v>76</v>
      </c>
      <c r="I69" s="32" t="s">
        <v>77</v>
      </c>
      <c r="J69" s="34" t="s">
        <v>72</v>
      </c>
      <c r="K69" s="35" t="str">
        <f t="shared" ref="K69:AO69" si="16">IF(AND(ISBLANK(K67),ISBLANK(K68)),"A",IFERROR(+MOD(K68-K67,1),0))</f>
        <v>A</v>
      </c>
      <c r="L69" s="35" t="str">
        <f t="shared" si="16"/>
        <v>A</v>
      </c>
      <c r="M69" s="35" t="str">
        <f t="shared" si="16"/>
        <v>A</v>
      </c>
      <c r="N69" s="35">
        <f t="shared" si="16"/>
        <v>0.3611111111111111</v>
      </c>
      <c r="O69" s="35">
        <f t="shared" si="16"/>
        <v>0.36805555555555558</v>
      </c>
      <c r="P69" s="35">
        <f t="shared" si="16"/>
        <v>5.6249999999999967E-2</v>
      </c>
      <c r="Q69" s="35" t="str">
        <f t="shared" si="16"/>
        <v>A</v>
      </c>
      <c r="R69" s="35" t="str">
        <f t="shared" si="16"/>
        <v>A</v>
      </c>
      <c r="S69" s="35" t="str">
        <f t="shared" si="16"/>
        <v>A</v>
      </c>
      <c r="T69" s="35" t="str">
        <f t="shared" si="16"/>
        <v>A</v>
      </c>
      <c r="U69" s="35" t="str">
        <f t="shared" si="16"/>
        <v>A</v>
      </c>
      <c r="V69" s="35" t="str">
        <f t="shared" si="16"/>
        <v>A</v>
      </c>
      <c r="W69" s="35" t="str">
        <f t="shared" si="16"/>
        <v>A</v>
      </c>
      <c r="X69" s="35" t="str">
        <f t="shared" si="16"/>
        <v>A</v>
      </c>
      <c r="Y69" s="35" t="str">
        <f t="shared" si="16"/>
        <v>A</v>
      </c>
      <c r="Z69" s="35" t="str">
        <f t="shared" si="16"/>
        <v>A</v>
      </c>
      <c r="AA69" s="35" t="str">
        <f t="shared" si="16"/>
        <v>A</v>
      </c>
      <c r="AB69" s="35" t="str">
        <f t="shared" si="16"/>
        <v>A</v>
      </c>
      <c r="AC69" s="35" t="str">
        <f t="shared" si="16"/>
        <v>A</v>
      </c>
      <c r="AD69" s="35" t="str">
        <f t="shared" si="16"/>
        <v>A</v>
      </c>
      <c r="AE69" s="35" t="str">
        <f t="shared" si="16"/>
        <v>A</v>
      </c>
      <c r="AF69" s="35" t="s">
        <v>71</v>
      </c>
      <c r="AG69" s="35" t="s">
        <v>71</v>
      </c>
      <c r="AH69" s="35" t="s">
        <v>71</v>
      </c>
      <c r="AI69" s="35" t="s">
        <v>71</v>
      </c>
      <c r="AJ69" s="35" t="s">
        <v>71</v>
      </c>
      <c r="AK69" s="35" t="str">
        <f t="shared" si="16"/>
        <v>A</v>
      </c>
      <c r="AL69" s="35" t="str">
        <f t="shared" si="16"/>
        <v>A</v>
      </c>
      <c r="AM69" s="35" t="str">
        <f t="shared" si="16"/>
        <v>A</v>
      </c>
      <c r="AN69" s="35" t="str">
        <f t="shared" si="16"/>
        <v>A</v>
      </c>
      <c r="AO69" s="35" t="str">
        <f t="shared" si="16"/>
        <v>A</v>
      </c>
      <c r="AP69" s="36"/>
    </row>
    <row r="70" spans="1:42">
      <c r="A70" s="25"/>
      <c r="B70" s="26"/>
      <c r="C70" s="39"/>
      <c r="D70" s="28"/>
      <c r="E70" s="28"/>
      <c r="F70" s="28"/>
      <c r="G70" s="28" t="s">
        <v>74</v>
      </c>
      <c r="H70" s="51" t="s">
        <v>70</v>
      </c>
      <c r="I70" s="28" t="s">
        <v>77</v>
      </c>
      <c r="J70" s="29" t="s">
        <v>13</v>
      </c>
      <c r="K70" s="25" t="s">
        <v>34</v>
      </c>
      <c r="L70" s="25" t="s">
        <v>71</v>
      </c>
      <c r="M70" s="25" t="s">
        <v>71</v>
      </c>
      <c r="N70" s="25" t="s">
        <v>71</v>
      </c>
      <c r="O70" s="25" t="s">
        <v>34</v>
      </c>
      <c r="P70" s="25" t="s">
        <v>34</v>
      </c>
      <c r="Q70" s="25" t="s">
        <v>34</v>
      </c>
      <c r="R70" s="25" t="s">
        <v>34</v>
      </c>
      <c r="S70" s="25" t="s">
        <v>47</v>
      </c>
      <c r="T70" s="25" t="s">
        <v>75</v>
      </c>
      <c r="U70" s="25" t="s">
        <v>34</v>
      </c>
      <c r="V70" s="25" t="s">
        <v>71</v>
      </c>
      <c r="W70" s="25" t="s">
        <v>34</v>
      </c>
      <c r="X70" s="25" t="s">
        <v>34</v>
      </c>
      <c r="Y70" s="25" t="s">
        <v>47</v>
      </c>
      <c r="Z70" s="25" t="s">
        <v>71</v>
      </c>
      <c r="AA70" s="25" t="s">
        <v>71</v>
      </c>
      <c r="AB70" s="25" t="s">
        <v>71</v>
      </c>
      <c r="AC70" s="25" t="s">
        <v>71</v>
      </c>
      <c r="AD70" s="25" t="s">
        <v>71</v>
      </c>
      <c r="AE70" s="25" t="s">
        <v>71</v>
      </c>
      <c r="AF70" s="25" t="s">
        <v>71</v>
      </c>
      <c r="AG70" s="25" t="s">
        <v>71</v>
      </c>
      <c r="AH70" s="52" t="s">
        <v>71</v>
      </c>
      <c r="AI70" s="25" t="s">
        <v>71</v>
      </c>
      <c r="AJ70" s="25" t="s">
        <v>71</v>
      </c>
      <c r="AK70" s="25" t="s">
        <v>71</v>
      </c>
      <c r="AL70" s="25" t="s">
        <v>71</v>
      </c>
      <c r="AM70" s="52" t="s">
        <v>71</v>
      </c>
      <c r="AN70" s="25" t="s">
        <v>71</v>
      </c>
      <c r="AO70" s="25" t="s">
        <v>71</v>
      </c>
      <c r="AP70" s="19">
        <f>COUNTIF(K70:AO70,"p")</f>
        <v>8</v>
      </c>
    </row>
    <row r="71" spans="1:42">
      <c r="A71" s="25"/>
      <c r="B71" s="26"/>
      <c r="C71" s="39"/>
      <c r="D71" s="28"/>
      <c r="E71" s="28"/>
      <c r="F71" s="28"/>
      <c r="G71" s="28" t="s">
        <v>74</v>
      </c>
      <c r="H71" s="51" t="s">
        <v>70</v>
      </c>
      <c r="I71" s="28" t="s">
        <v>77</v>
      </c>
      <c r="J71" s="29" t="s">
        <v>32</v>
      </c>
      <c r="K71" s="30">
        <v>0.375</v>
      </c>
      <c r="L71" s="30"/>
      <c r="M71" s="30"/>
      <c r="N71" s="30"/>
      <c r="O71" s="30">
        <v>0.36458333333333331</v>
      </c>
      <c r="P71" s="30">
        <v>0.37152777777777773</v>
      </c>
      <c r="Q71" s="30">
        <v>0.3743055555555555</v>
      </c>
      <c r="R71" s="30">
        <v>0.36944444444444446</v>
      </c>
      <c r="S71" s="19"/>
      <c r="T71" s="19"/>
      <c r="U71" s="30">
        <v>0.375</v>
      </c>
      <c r="V71" s="19"/>
      <c r="W71" s="30">
        <v>0.375</v>
      </c>
      <c r="X71" s="30">
        <v>0.375</v>
      </c>
      <c r="Y71" s="19"/>
      <c r="Z71" s="19"/>
      <c r="AA71" s="19"/>
      <c r="AB71" s="19"/>
      <c r="AC71" s="19"/>
      <c r="AD71" s="19"/>
      <c r="AE71" s="19"/>
      <c r="AF71" s="19" t="s">
        <v>71</v>
      </c>
      <c r="AG71" s="19" t="s">
        <v>71</v>
      </c>
      <c r="AH71" s="30" t="s">
        <v>71</v>
      </c>
      <c r="AI71" s="30" t="s">
        <v>71</v>
      </c>
      <c r="AJ71" s="30" t="s">
        <v>71</v>
      </c>
      <c r="AK71" s="19"/>
      <c r="AL71" s="30"/>
      <c r="AM71" s="30"/>
      <c r="AN71" s="30"/>
      <c r="AO71" s="30"/>
      <c r="AP71" s="19"/>
    </row>
    <row r="72" spans="1:42">
      <c r="A72" s="25"/>
      <c r="B72" s="26"/>
      <c r="C72" s="39"/>
      <c r="D72" s="28"/>
      <c r="E72" s="28"/>
      <c r="F72" s="28"/>
      <c r="G72" s="28" t="s">
        <v>74</v>
      </c>
      <c r="H72" s="51" t="s">
        <v>70</v>
      </c>
      <c r="I72" s="28" t="s">
        <v>77</v>
      </c>
      <c r="J72" s="29" t="s">
        <v>33</v>
      </c>
      <c r="K72" s="30">
        <v>0.75</v>
      </c>
      <c r="L72" s="30"/>
      <c r="M72" s="30"/>
      <c r="N72" s="30"/>
      <c r="O72" s="30">
        <v>0.79166666666666663</v>
      </c>
      <c r="P72" s="30">
        <v>0.79166666666666663</v>
      </c>
      <c r="Q72" s="30">
        <v>0.75</v>
      </c>
      <c r="R72" s="30">
        <v>0.75</v>
      </c>
      <c r="S72" s="19"/>
      <c r="T72" s="19"/>
      <c r="U72" s="30">
        <v>0.75</v>
      </c>
      <c r="V72" s="19"/>
      <c r="W72" s="30">
        <v>0.75</v>
      </c>
      <c r="X72" s="30">
        <v>0.75</v>
      </c>
      <c r="Y72" s="19"/>
      <c r="Z72" s="19"/>
      <c r="AA72" s="19"/>
      <c r="AB72" s="19"/>
      <c r="AC72" s="19"/>
      <c r="AD72" s="19"/>
      <c r="AE72" s="19"/>
      <c r="AF72" s="19" t="s">
        <v>71</v>
      </c>
      <c r="AG72" s="19" t="s">
        <v>71</v>
      </c>
      <c r="AH72" s="30" t="s">
        <v>71</v>
      </c>
      <c r="AI72" s="30" t="s">
        <v>71</v>
      </c>
      <c r="AJ72" s="30" t="s">
        <v>71</v>
      </c>
      <c r="AK72" s="19"/>
      <c r="AL72" s="30"/>
      <c r="AM72" s="30"/>
      <c r="AN72" s="30"/>
      <c r="AO72" s="30"/>
      <c r="AP72" s="19"/>
    </row>
    <row r="73" spans="1:42">
      <c r="A73" s="45"/>
      <c r="B73" s="32"/>
      <c r="C73" s="33"/>
      <c r="D73" s="32"/>
      <c r="E73" s="32"/>
      <c r="F73" s="32"/>
      <c r="G73" s="32" t="s">
        <v>74</v>
      </c>
      <c r="H73" s="53" t="s">
        <v>70</v>
      </c>
      <c r="I73" s="32" t="s">
        <v>77</v>
      </c>
      <c r="J73" s="34" t="s">
        <v>72</v>
      </c>
      <c r="K73" s="35">
        <f t="shared" ref="K73:AO73" si="17">IF(AND(ISBLANK(K71),ISBLANK(K72)),"A",IFERROR(+MOD(K72-K71,1),0))</f>
        <v>0.375</v>
      </c>
      <c r="L73" s="35" t="str">
        <f t="shared" si="17"/>
        <v>A</v>
      </c>
      <c r="M73" s="35" t="str">
        <f t="shared" si="17"/>
        <v>A</v>
      </c>
      <c r="N73" s="35" t="str">
        <f t="shared" si="17"/>
        <v>A</v>
      </c>
      <c r="O73" s="35">
        <f t="shared" si="17"/>
        <v>0.42708333333333331</v>
      </c>
      <c r="P73" s="35">
        <f t="shared" si="17"/>
        <v>0.4201388888888889</v>
      </c>
      <c r="Q73" s="35">
        <f t="shared" si="17"/>
        <v>0.3756944444444445</v>
      </c>
      <c r="R73" s="35">
        <f t="shared" si="17"/>
        <v>0.38055555555555554</v>
      </c>
      <c r="S73" s="35" t="str">
        <f t="shared" si="17"/>
        <v>A</v>
      </c>
      <c r="T73" s="35" t="str">
        <f t="shared" si="17"/>
        <v>A</v>
      </c>
      <c r="U73" s="35">
        <f t="shared" si="17"/>
        <v>0.375</v>
      </c>
      <c r="V73" s="35" t="str">
        <f t="shared" si="17"/>
        <v>A</v>
      </c>
      <c r="W73" s="35">
        <f t="shared" si="17"/>
        <v>0.375</v>
      </c>
      <c r="X73" s="35">
        <f t="shared" si="17"/>
        <v>0.375</v>
      </c>
      <c r="Y73" s="35" t="str">
        <f t="shared" si="17"/>
        <v>A</v>
      </c>
      <c r="Z73" s="35" t="str">
        <f t="shared" si="17"/>
        <v>A</v>
      </c>
      <c r="AA73" s="35" t="str">
        <f t="shared" si="17"/>
        <v>A</v>
      </c>
      <c r="AB73" s="35" t="str">
        <f t="shared" si="17"/>
        <v>A</v>
      </c>
      <c r="AC73" s="35" t="str">
        <f t="shared" si="17"/>
        <v>A</v>
      </c>
      <c r="AD73" s="35" t="str">
        <f t="shared" si="17"/>
        <v>A</v>
      </c>
      <c r="AE73" s="35" t="str">
        <f t="shared" si="17"/>
        <v>A</v>
      </c>
      <c r="AF73" s="35" t="s">
        <v>71</v>
      </c>
      <c r="AG73" s="35" t="s">
        <v>71</v>
      </c>
      <c r="AH73" s="35" t="s">
        <v>71</v>
      </c>
      <c r="AI73" s="35" t="s">
        <v>71</v>
      </c>
      <c r="AJ73" s="35" t="s">
        <v>71</v>
      </c>
      <c r="AK73" s="35" t="str">
        <f t="shared" si="17"/>
        <v>A</v>
      </c>
      <c r="AL73" s="35" t="str">
        <f t="shared" si="17"/>
        <v>A</v>
      </c>
      <c r="AM73" s="35" t="str">
        <f t="shared" si="17"/>
        <v>A</v>
      </c>
      <c r="AN73" s="35" t="str">
        <f t="shared" si="17"/>
        <v>A</v>
      </c>
      <c r="AO73" s="35" t="str">
        <f t="shared" si="17"/>
        <v>A</v>
      </c>
      <c r="AP73" s="36"/>
    </row>
    <row r="74" spans="1:42">
      <c r="A74" s="25"/>
      <c r="B74" s="26"/>
      <c r="C74" s="39"/>
      <c r="D74" s="28"/>
      <c r="E74" s="28"/>
      <c r="F74" s="28"/>
      <c r="G74" s="28" t="s">
        <v>74</v>
      </c>
      <c r="H74" s="51" t="s">
        <v>76</v>
      </c>
      <c r="I74" s="28" t="s">
        <v>77</v>
      </c>
      <c r="J74" s="29" t="s">
        <v>13</v>
      </c>
      <c r="K74" s="25" t="s">
        <v>71</v>
      </c>
      <c r="L74" s="25" t="s">
        <v>34</v>
      </c>
      <c r="M74" s="25" t="s">
        <v>71</v>
      </c>
      <c r="N74" s="25" t="s">
        <v>71</v>
      </c>
      <c r="O74" s="25" t="s">
        <v>71</v>
      </c>
      <c r="P74" s="25" t="s">
        <v>71</v>
      </c>
      <c r="Q74" s="25" t="s">
        <v>71</v>
      </c>
      <c r="R74" s="25" t="s">
        <v>71</v>
      </c>
      <c r="S74" s="25" t="s">
        <v>71</v>
      </c>
      <c r="T74" s="25" t="s">
        <v>71</v>
      </c>
      <c r="U74" s="25" t="s">
        <v>71</v>
      </c>
      <c r="V74" s="25" t="s">
        <v>71</v>
      </c>
      <c r="W74" s="25" t="s">
        <v>71</v>
      </c>
      <c r="X74" s="25" t="s">
        <v>71</v>
      </c>
      <c r="Y74" s="25" t="s">
        <v>71</v>
      </c>
      <c r="Z74" s="25" t="s">
        <v>71</v>
      </c>
      <c r="AA74" s="25" t="s">
        <v>71</v>
      </c>
      <c r="AB74" s="25" t="s">
        <v>71</v>
      </c>
      <c r="AC74" s="25" t="s">
        <v>71</v>
      </c>
      <c r="AD74" s="25" t="s">
        <v>71</v>
      </c>
      <c r="AE74" s="25" t="s">
        <v>71</v>
      </c>
      <c r="AF74" s="25" t="s">
        <v>71</v>
      </c>
      <c r="AG74" s="25" t="s">
        <v>71</v>
      </c>
      <c r="AH74" s="52" t="s">
        <v>71</v>
      </c>
      <c r="AI74" s="25" t="s">
        <v>71</v>
      </c>
      <c r="AJ74" s="25" t="s">
        <v>71</v>
      </c>
      <c r="AK74" s="25" t="s">
        <v>71</v>
      </c>
      <c r="AL74" s="25" t="s">
        <v>71</v>
      </c>
      <c r="AM74" s="25" t="s">
        <v>71</v>
      </c>
      <c r="AN74" s="25" t="s">
        <v>71</v>
      </c>
      <c r="AO74" s="25" t="s">
        <v>71</v>
      </c>
      <c r="AP74" s="19">
        <f>COUNTIF(K74:AO74,"p")</f>
        <v>1</v>
      </c>
    </row>
    <row r="75" spans="1:42">
      <c r="A75" s="25"/>
      <c r="B75" s="26"/>
      <c r="C75" s="39"/>
      <c r="D75" s="28"/>
      <c r="E75" s="28"/>
      <c r="F75" s="28"/>
      <c r="G75" s="28" t="s">
        <v>74</v>
      </c>
      <c r="H75" s="51" t="s">
        <v>76</v>
      </c>
      <c r="I75" s="28" t="s">
        <v>77</v>
      </c>
      <c r="J75" s="29" t="s">
        <v>32</v>
      </c>
      <c r="K75" s="30"/>
      <c r="L75" s="30">
        <v>0.80208333333333337</v>
      </c>
      <c r="M75" s="30"/>
      <c r="N75" s="30"/>
      <c r="O75" s="30"/>
      <c r="P75" s="30"/>
      <c r="Q75" s="30"/>
      <c r="R75" s="30"/>
      <c r="S75" s="19"/>
      <c r="T75" s="30"/>
      <c r="U75" s="19"/>
      <c r="V75" s="30"/>
      <c r="W75" s="30"/>
      <c r="X75" s="30"/>
      <c r="Y75" s="30"/>
      <c r="Z75" s="30"/>
      <c r="AA75" s="30"/>
      <c r="AB75" s="19"/>
      <c r="AC75" s="19"/>
      <c r="AD75" s="30"/>
      <c r="AE75" s="30"/>
      <c r="AF75" s="19" t="s">
        <v>71</v>
      </c>
      <c r="AG75" s="19" t="s">
        <v>71</v>
      </c>
      <c r="AH75" s="30" t="s">
        <v>71</v>
      </c>
      <c r="AI75" s="30" t="s">
        <v>71</v>
      </c>
      <c r="AJ75" s="30" t="s">
        <v>71</v>
      </c>
      <c r="AK75" s="30"/>
      <c r="AL75" s="30"/>
      <c r="AM75" s="30"/>
      <c r="AN75" s="30"/>
      <c r="AO75" s="30"/>
      <c r="AP75" s="19"/>
    </row>
    <row r="76" spans="1:42">
      <c r="A76" s="25"/>
      <c r="B76" s="26"/>
      <c r="C76" s="39"/>
      <c r="D76" s="28"/>
      <c r="E76" s="28"/>
      <c r="F76" s="28"/>
      <c r="G76" s="28" t="s">
        <v>74</v>
      </c>
      <c r="H76" s="51" t="s">
        <v>76</v>
      </c>
      <c r="I76" s="28" t="s">
        <v>77</v>
      </c>
      <c r="J76" s="29" t="s">
        <v>33</v>
      </c>
      <c r="K76" s="30"/>
      <c r="L76" s="30">
        <v>0.16666666666666666</v>
      </c>
      <c r="M76" s="30"/>
      <c r="N76" s="30"/>
      <c r="O76" s="30"/>
      <c r="P76" s="30"/>
      <c r="Q76" s="30"/>
      <c r="R76" s="30"/>
      <c r="S76" s="19"/>
      <c r="T76" s="30"/>
      <c r="U76" s="19"/>
      <c r="V76" s="30"/>
      <c r="W76" s="30"/>
      <c r="X76" s="30"/>
      <c r="Y76" s="30"/>
      <c r="Z76" s="30"/>
      <c r="AA76" s="30"/>
      <c r="AB76" s="19"/>
      <c r="AC76" s="19"/>
      <c r="AD76" s="30"/>
      <c r="AE76" s="30"/>
      <c r="AF76" s="19" t="s">
        <v>71</v>
      </c>
      <c r="AG76" s="19" t="s">
        <v>71</v>
      </c>
      <c r="AH76" s="30" t="s">
        <v>71</v>
      </c>
      <c r="AI76" s="30" t="s">
        <v>71</v>
      </c>
      <c r="AJ76" s="30" t="s">
        <v>71</v>
      </c>
      <c r="AK76" s="30"/>
      <c r="AL76" s="30"/>
      <c r="AM76" s="30"/>
      <c r="AN76" s="30"/>
      <c r="AO76" s="30"/>
      <c r="AP76" s="19"/>
    </row>
    <row r="77" spans="1:42">
      <c r="A77" s="45"/>
      <c r="B77" s="32"/>
      <c r="C77" s="33"/>
      <c r="D77" s="32"/>
      <c r="E77" s="32"/>
      <c r="F77" s="32"/>
      <c r="G77" s="32" t="s">
        <v>74</v>
      </c>
      <c r="H77" s="53" t="s">
        <v>76</v>
      </c>
      <c r="I77" s="32" t="s">
        <v>77</v>
      </c>
      <c r="J77" s="34" t="s">
        <v>72</v>
      </c>
      <c r="K77" s="35" t="str">
        <f t="shared" ref="K77:AO77" si="18">IF(AND(ISBLANK(K75),ISBLANK(K76)),"A",IFERROR(+MOD(K76-K75,1),0))</f>
        <v>A</v>
      </c>
      <c r="L77" s="35">
        <f t="shared" si="18"/>
        <v>0.36458333333333326</v>
      </c>
      <c r="M77" s="35" t="str">
        <f t="shared" si="18"/>
        <v>A</v>
      </c>
      <c r="N77" s="35" t="str">
        <f t="shared" si="18"/>
        <v>A</v>
      </c>
      <c r="O77" s="35" t="str">
        <f t="shared" si="18"/>
        <v>A</v>
      </c>
      <c r="P77" s="35" t="str">
        <f t="shared" si="18"/>
        <v>A</v>
      </c>
      <c r="Q77" s="35" t="str">
        <f t="shared" si="18"/>
        <v>A</v>
      </c>
      <c r="R77" s="35" t="str">
        <f t="shared" si="18"/>
        <v>A</v>
      </c>
      <c r="S77" s="35" t="str">
        <f t="shared" si="18"/>
        <v>A</v>
      </c>
      <c r="T77" s="35" t="str">
        <f t="shared" si="18"/>
        <v>A</v>
      </c>
      <c r="U77" s="35" t="str">
        <f t="shared" si="18"/>
        <v>A</v>
      </c>
      <c r="V77" s="35" t="str">
        <f t="shared" si="18"/>
        <v>A</v>
      </c>
      <c r="W77" s="35" t="str">
        <f t="shared" si="18"/>
        <v>A</v>
      </c>
      <c r="X77" s="35" t="str">
        <f t="shared" si="18"/>
        <v>A</v>
      </c>
      <c r="Y77" s="35" t="str">
        <f t="shared" si="18"/>
        <v>A</v>
      </c>
      <c r="Z77" s="35" t="str">
        <f t="shared" si="18"/>
        <v>A</v>
      </c>
      <c r="AA77" s="35" t="str">
        <f t="shared" si="18"/>
        <v>A</v>
      </c>
      <c r="AB77" s="35" t="str">
        <f t="shared" si="18"/>
        <v>A</v>
      </c>
      <c r="AC77" s="35" t="str">
        <f t="shared" si="18"/>
        <v>A</v>
      </c>
      <c r="AD77" s="35" t="str">
        <f t="shared" si="18"/>
        <v>A</v>
      </c>
      <c r="AE77" s="35" t="str">
        <f t="shared" si="18"/>
        <v>A</v>
      </c>
      <c r="AF77" s="35" t="s">
        <v>71</v>
      </c>
      <c r="AG77" s="35" t="s">
        <v>71</v>
      </c>
      <c r="AH77" s="35" t="s">
        <v>71</v>
      </c>
      <c r="AI77" s="35" t="s">
        <v>71</v>
      </c>
      <c r="AJ77" s="35" t="s">
        <v>71</v>
      </c>
      <c r="AK77" s="35" t="str">
        <f t="shared" si="18"/>
        <v>A</v>
      </c>
      <c r="AL77" s="35" t="str">
        <f t="shared" si="18"/>
        <v>A</v>
      </c>
      <c r="AM77" s="35" t="str">
        <f t="shared" si="18"/>
        <v>A</v>
      </c>
      <c r="AN77" s="35" t="str">
        <f t="shared" si="18"/>
        <v>A</v>
      </c>
      <c r="AO77" s="35" t="str">
        <f t="shared" si="18"/>
        <v>A</v>
      </c>
      <c r="AP77" s="36"/>
    </row>
    <row r="78" spans="1:42">
      <c r="A78" s="25"/>
      <c r="B78" s="26"/>
      <c r="C78" s="39"/>
      <c r="D78" s="28"/>
      <c r="E78" s="28"/>
      <c r="F78" s="28"/>
      <c r="G78" s="28" t="s">
        <v>74</v>
      </c>
      <c r="H78" s="51" t="s">
        <v>76</v>
      </c>
      <c r="I78" s="28" t="s">
        <v>25</v>
      </c>
      <c r="J78" s="29" t="s">
        <v>13</v>
      </c>
      <c r="K78" s="25" t="s">
        <v>34</v>
      </c>
      <c r="L78" s="25" t="s">
        <v>34</v>
      </c>
      <c r="M78" s="25" t="s">
        <v>75</v>
      </c>
      <c r="N78" s="25" t="s">
        <v>34</v>
      </c>
      <c r="O78" s="25" t="s">
        <v>34</v>
      </c>
      <c r="P78" s="25" t="s">
        <v>34</v>
      </c>
      <c r="Q78" s="25" t="s">
        <v>34</v>
      </c>
      <c r="R78" s="25" t="s">
        <v>34</v>
      </c>
      <c r="S78" s="25" t="s">
        <v>34</v>
      </c>
      <c r="T78" s="25" t="s">
        <v>34</v>
      </c>
      <c r="U78" s="25" t="s">
        <v>78</v>
      </c>
      <c r="V78" s="25" t="s">
        <v>34</v>
      </c>
      <c r="W78" s="25" t="s">
        <v>34</v>
      </c>
      <c r="X78" s="25" t="s">
        <v>34</v>
      </c>
      <c r="Y78" s="25" t="s">
        <v>47</v>
      </c>
      <c r="Z78" s="25" t="s">
        <v>71</v>
      </c>
      <c r="AA78" s="25" t="s">
        <v>75</v>
      </c>
      <c r="AB78" s="25" t="s">
        <v>71</v>
      </c>
      <c r="AC78" s="25" t="s">
        <v>34</v>
      </c>
      <c r="AD78" s="25" t="s">
        <v>34</v>
      </c>
      <c r="AE78" s="25" t="s">
        <v>34</v>
      </c>
      <c r="AF78" s="25" t="s">
        <v>34</v>
      </c>
      <c r="AG78" s="25" t="s">
        <v>34</v>
      </c>
      <c r="AH78" s="25" t="s">
        <v>71</v>
      </c>
      <c r="AI78" s="25" t="s">
        <v>34</v>
      </c>
      <c r="AJ78" s="25" t="s">
        <v>34</v>
      </c>
      <c r="AK78" s="25"/>
      <c r="AL78" s="25"/>
      <c r="AM78" s="25"/>
      <c r="AN78" s="25"/>
      <c r="AO78" s="25"/>
      <c r="AP78" s="19">
        <f>COUNTIF(K78:AO78,"p")</f>
        <v>19</v>
      </c>
    </row>
    <row r="79" spans="1:42">
      <c r="A79" s="25"/>
      <c r="B79" s="26"/>
      <c r="C79" s="39"/>
      <c r="D79" s="28"/>
      <c r="E79" s="28"/>
      <c r="F79" s="28"/>
      <c r="G79" s="28" t="s">
        <v>74</v>
      </c>
      <c r="H79" s="51" t="s">
        <v>76</v>
      </c>
      <c r="I79" s="28" t="s">
        <v>25</v>
      </c>
      <c r="J79" s="29" t="s">
        <v>32</v>
      </c>
      <c r="K79" s="30">
        <v>0.375</v>
      </c>
      <c r="L79" s="30">
        <v>0.375</v>
      </c>
      <c r="M79" s="30"/>
      <c r="N79" s="30">
        <v>0.375</v>
      </c>
      <c r="O79" s="30">
        <v>0.375</v>
      </c>
      <c r="P79" s="30">
        <v>0.375</v>
      </c>
      <c r="Q79" s="30">
        <v>0.375</v>
      </c>
      <c r="R79" s="30">
        <v>0.37916666666666665</v>
      </c>
      <c r="S79" s="30">
        <v>0.37847222222222227</v>
      </c>
      <c r="T79" s="30">
        <v>0.3888888888888889</v>
      </c>
      <c r="U79" s="30"/>
      <c r="V79" s="30">
        <v>0.375</v>
      </c>
      <c r="W79" s="30">
        <v>0.375</v>
      </c>
      <c r="X79" s="30">
        <v>0.38194444444444442</v>
      </c>
      <c r="Y79" s="30"/>
      <c r="Z79" s="30"/>
      <c r="AA79" s="30"/>
      <c r="AB79" s="30"/>
      <c r="AC79" s="30">
        <v>0.375</v>
      </c>
      <c r="AD79" s="30">
        <v>0.375</v>
      </c>
      <c r="AE79" s="30">
        <v>0.375</v>
      </c>
      <c r="AF79" s="30">
        <v>0.375</v>
      </c>
      <c r="AG79" s="30">
        <v>0.375</v>
      </c>
      <c r="AH79" s="30" t="s">
        <v>71</v>
      </c>
      <c r="AI79" s="52">
        <v>0.375</v>
      </c>
      <c r="AJ79" s="30">
        <v>0.375</v>
      </c>
      <c r="AK79" s="19"/>
      <c r="AL79" s="30"/>
      <c r="AM79" s="30"/>
      <c r="AN79" s="30"/>
      <c r="AO79" s="30"/>
      <c r="AP79" s="19"/>
    </row>
    <row r="80" spans="1:42">
      <c r="A80" s="25"/>
      <c r="B80" s="26"/>
      <c r="C80" s="39"/>
      <c r="D80" s="28"/>
      <c r="E80" s="28"/>
      <c r="F80" s="28"/>
      <c r="G80" s="28" t="s">
        <v>74</v>
      </c>
      <c r="H80" s="51" t="s">
        <v>76</v>
      </c>
      <c r="I80" s="28" t="s">
        <v>25</v>
      </c>
      <c r="J80" s="29" t="s">
        <v>33</v>
      </c>
      <c r="K80" s="30">
        <v>0.875</v>
      </c>
      <c r="L80" s="30">
        <v>0.875</v>
      </c>
      <c r="M80" s="30"/>
      <c r="N80" s="30">
        <v>0.76041666666666663</v>
      </c>
      <c r="O80" s="30">
        <v>0.79166666666666663</v>
      </c>
      <c r="P80" s="30">
        <v>0.79166666666666663</v>
      </c>
      <c r="Q80" s="30">
        <v>0.875</v>
      </c>
      <c r="R80" s="30">
        <v>0.85416666666666663</v>
      </c>
      <c r="S80" s="30">
        <v>0.71180555555555547</v>
      </c>
      <c r="T80" s="30">
        <v>0.75</v>
      </c>
      <c r="U80" s="30"/>
      <c r="V80" s="30">
        <v>0.83333333333333337</v>
      </c>
      <c r="W80" s="30">
        <v>0.76041666666666663</v>
      </c>
      <c r="X80" s="30">
        <v>0.75</v>
      </c>
      <c r="Y80" s="30"/>
      <c r="Z80" s="30"/>
      <c r="AA80" s="30"/>
      <c r="AB80" s="30"/>
      <c r="AC80" s="30">
        <v>0.85416666666666663</v>
      </c>
      <c r="AD80" s="30">
        <v>0.79166666666666663</v>
      </c>
      <c r="AE80" s="30">
        <v>0.83333333333333337</v>
      </c>
      <c r="AF80" s="30">
        <v>0.83333333333333337</v>
      </c>
      <c r="AG80" s="30">
        <v>0.83333333333333337</v>
      </c>
      <c r="AH80" s="30" t="s">
        <v>71</v>
      </c>
      <c r="AI80" s="52">
        <v>0.79166666666666663</v>
      </c>
      <c r="AJ80" s="30"/>
      <c r="AK80" s="19"/>
      <c r="AL80" s="30"/>
      <c r="AM80" s="30"/>
      <c r="AN80" s="30"/>
      <c r="AO80" s="30"/>
      <c r="AP80" s="19"/>
    </row>
    <row r="81" spans="1:42">
      <c r="A81" s="45"/>
      <c r="B81" s="32"/>
      <c r="C81" s="33"/>
      <c r="D81" s="32"/>
      <c r="E81" s="32"/>
      <c r="F81" s="32"/>
      <c r="G81" s="32" t="s">
        <v>74</v>
      </c>
      <c r="H81" s="53" t="s">
        <v>76</v>
      </c>
      <c r="I81" s="32" t="s">
        <v>25</v>
      </c>
      <c r="J81" s="34" t="s">
        <v>72</v>
      </c>
      <c r="K81" s="35">
        <f t="shared" ref="K81:AO81" si="19">IF(AND(ISBLANK(K79),ISBLANK(K80)),"A",IFERROR(+MOD(K80-K79,1),0))</f>
        <v>0.5</v>
      </c>
      <c r="L81" s="35">
        <f t="shared" si="19"/>
        <v>0.5</v>
      </c>
      <c r="M81" s="35" t="str">
        <f t="shared" si="19"/>
        <v>A</v>
      </c>
      <c r="N81" s="35">
        <f t="shared" si="19"/>
        <v>0.38541666666666663</v>
      </c>
      <c r="O81" s="35">
        <f t="shared" si="19"/>
        <v>0.41666666666666663</v>
      </c>
      <c r="P81" s="35">
        <f t="shared" si="19"/>
        <v>0.41666666666666663</v>
      </c>
      <c r="Q81" s="35">
        <f t="shared" si="19"/>
        <v>0.5</v>
      </c>
      <c r="R81" s="35">
        <f t="shared" si="19"/>
        <v>0.47499999999999998</v>
      </c>
      <c r="S81" s="35">
        <f t="shared" si="19"/>
        <v>0.3333333333333332</v>
      </c>
      <c r="T81" s="35">
        <f t="shared" si="19"/>
        <v>0.3611111111111111</v>
      </c>
      <c r="U81" s="35" t="str">
        <f t="shared" si="19"/>
        <v>A</v>
      </c>
      <c r="V81" s="35">
        <f t="shared" si="19"/>
        <v>0.45833333333333337</v>
      </c>
      <c r="W81" s="35">
        <f t="shared" si="19"/>
        <v>0.38541666666666663</v>
      </c>
      <c r="X81" s="35">
        <f t="shared" si="19"/>
        <v>0.36805555555555558</v>
      </c>
      <c r="Y81" s="35" t="str">
        <f t="shared" si="19"/>
        <v>A</v>
      </c>
      <c r="Z81" s="35" t="str">
        <f t="shared" si="19"/>
        <v>A</v>
      </c>
      <c r="AA81" s="35" t="str">
        <f t="shared" si="19"/>
        <v>A</v>
      </c>
      <c r="AB81" s="35" t="str">
        <f t="shared" si="19"/>
        <v>A</v>
      </c>
      <c r="AC81" s="35">
        <f t="shared" si="19"/>
        <v>0.47916666666666663</v>
      </c>
      <c r="AD81" s="35">
        <f t="shared" si="19"/>
        <v>0.41666666666666663</v>
      </c>
      <c r="AE81" s="35">
        <f t="shared" si="19"/>
        <v>0.45833333333333337</v>
      </c>
      <c r="AF81" s="35">
        <f t="shared" si="19"/>
        <v>0.45833333333333337</v>
      </c>
      <c r="AG81" s="35">
        <f t="shared" si="19"/>
        <v>0.45833333333333337</v>
      </c>
      <c r="AH81" s="35" t="s">
        <v>71</v>
      </c>
      <c r="AI81" s="35">
        <f t="shared" si="19"/>
        <v>0.41666666666666663</v>
      </c>
      <c r="AJ81" s="35">
        <f t="shared" si="19"/>
        <v>0.625</v>
      </c>
      <c r="AK81" s="35" t="str">
        <f t="shared" si="19"/>
        <v>A</v>
      </c>
      <c r="AL81" s="35" t="str">
        <f t="shared" si="19"/>
        <v>A</v>
      </c>
      <c r="AM81" s="35" t="str">
        <f t="shared" si="19"/>
        <v>A</v>
      </c>
      <c r="AN81" s="35" t="str">
        <f t="shared" si="19"/>
        <v>A</v>
      </c>
      <c r="AO81" s="35" t="str">
        <f t="shared" si="19"/>
        <v>A</v>
      </c>
      <c r="AP81" s="36"/>
    </row>
    <row r="82" spans="1:42">
      <c r="A82" s="58"/>
      <c r="B82" s="26"/>
      <c r="C82" s="39"/>
      <c r="D82" s="28"/>
      <c r="E82" s="28"/>
      <c r="F82" s="28"/>
      <c r="G82" s="28" t="s">
        <v>74</v>
      </c>
      <c r="H82" s="51" t="s">
        <v>76</v>
      </c>
      <c r="I82" s="28" t="s">
        <v>77</v>
      </c>
      <c r="J82" s="29" t="s">
        <v>13</v>
      </c>
      <c r="K82" s="25" t="s">
        <v>71</v>
      </c>
      <c r="L82" s="25" t="s">
        <v>71</v>
      </c>
      <c r="M82" s="25" t="s">
        <v>71</v>
      </c>
      <c r="N82" s="25" t="s">
        <v>34</v>
      </c>
      <c r="O82" s="25" t="s">
        <v>34</v>
      </c>
      <c r="P82" s="25" t="s">
        <v>71</v>
      </c>
      <c r="Q82" s="25" t="s">
        <v>71</v>
      </c>
      <c r="R82" s="25" t="s">
        <v>71</v>
      </c>
      <c r="S82" s="25" t="s">
        <v>71</v>
      </c>
      <c r="T82" s="25" t="s">
        <v>71</v>
      </c>
      <c r="U82" s="25" t="s">
        <v>71</v>
      </c>
      <c r="V82" s="25" t="s">
        <v>71</v>
      </c>
      <c r="W82" s="25" t="s">
        <v>71</v>
      </c>
      <c r="X82" s="25" t="s">
        <v>71</v>
      </c>
      <c r="Y82" s="25" t="s">
        <v>71</v>
      </c>
      <c r="Z82" s="25" t="s">
        <v>71</v>
      </c>
      <c r="AA82" s="25" t="s">
        <v>71</v>
      </c>
      <c r="AB82" s="25" t="s">
        <v>71</v>
      </c>
      <c r="AC82" s="25" t="s">
        <v>71</v>
      </c>
      <c r="AD82" s="25" t="s">
        <v>71</v>
      </c>
      <c r="AE82" s="25" t="s">
        <v>71</v>
      </c>
      <c r="AF82" s="25" t="s">
        <v>71</v>
      </c>
      <c r="AG82" s="25" t="s">
        <v>71</v>
      </c>
      <c r="AH82" s="52" t="s">
        <v>71</v>
      </c>
      <c r="AI82" s="25" t="s">
        <v>71</v>
      </c>
      <c r="AJ82" s="25" t="s">
        <v>71</v>
      </c>
      <c r="AK82" s="25" t="s">
        <v>71</v>
      </c>
      <c r="AL82" s="25" t="s">
        <v>71</v>
      </c>
      <c r="AM82" s="25" t="s">
        <v>71</v>
      </c>
      <c r="AN82" s="25" t="s">
        <v>71</v>
      </c>
      <c r="AO82" s="25" t="s">
        <v>71</v>
      </c>
      <c r="AP82" s="19">
        <f>COUNTIF(K82:AO82,"p")</f>
        <v>2</v>
      </c>
    </row>
    <row r="83" spans="1:42">
      <c r="A83" s="58"/>
      <c r="B83" s="26"/>
      <c r="C83" s="39"/>
      <c r="D83" s="28"/>
      <c r="E83" s="28"/>
      <c r="F83" s="28"/>
      <c r="G83" s="28" t="s">
        <v>74</v>
      </c>
      <c r="H83" s="51" t="s">
        <v>76</v>
      </c>
      <c r="I83" s="28" t="s">
        <v>77</v>
      </c>
      <c r="J83" s="29" t="s">
        <v>32</v>
      </c>
      <c r="K83" s="30"/>
      <c r="L83" s="30"/>
      <c r="M83" s="30"/>
      <c r="N83" s="30">
        <v>0.3888888888888889</v>
      </c>
      <c r="O83" s="30">
        <v>0.38194444444444442</v>
      </c>
      <c r="P83" s="30">
        <v>0.375</v>
      </c>
      <c r="Q83" s="30"/>
      <c r="R83" s="30"/>
      <c r="S83" s="30"/>
      <c r="T83" s="30"/>
      <c r="U83" s="19"/>
      <c r="V83" s="30"/>
      <c r="W83" s="19"/>
      <c r="X83" s="19"/>
      <c r="Y83" s="19"/>
      <c r="Z83" s="19"/>
      <c r="AA83" s="19"/>
      <c r="AB83" s="19"/>
      <c r="AC83" s="19"/>
      <c r="AD83" s="19"/>
      <c r="AE83" s="19"/>
      <c r="AF83" s="19" t="s">
        <v>71</v>
      </c>
      <c r="AG83" s="19" t="s">
        <v>71</v>
      </c>
      <c r="AH83" s="30" t="s">
        <v>71</v>
      </c>
      <c r="AI83" s="30" t="s">
        <v>71</v>
      </c>
      <c r="AJ83" s="30" t="s">
        <v>71</v>
      </c>
      <c r="AK83" s="19"/>
      <c r="AL83" s="30"/>
      <c r="AM83" s="30"/>
      <c r="AN83" s="30"/>
      <c r="AO83" s="30"/>
      <c r="AP83" s="19"/>
    </row>
    <row r="84" spans="1:42">
      <c r="A84" s="58"/>
      <c r="B84" s="26"/>
      <c r="C84" s="39"/>
      <c r="D84" s="28"/>
      <c r="E84" s="28"/>
      <c r="F84" s="28"/>
      <c r="G84" s="28" t="s">
        <v>74</v>
      </c>
      <c r="H84" s="51" t="s">
        <v>76</v>
      </c>
      <c r="I84" s="28" t="s">
        <v>77</v>
      </c>
      <c r="J84" s="29" t="s">
        <v>33</v>
      </c>
      <c r="K84" s="30"/>
      <c r="L84" s="30"/>
      <c r="M84" s="30"/>
      <c r="N84" s="30">
        <v>0.75</v>
      </c>
      <c r="O84" s="30">
        <v>0.75</v>
      </c>
      <c r="P84" s="30">
        <v>0.43124999999999997</v>
      </c>
      <c r="Q84" s="30"/>
      <c r="R84" s="30"/>
      <c r="S84" s="30"/>
      <c r="T84" s="30"/>
      <c r="U84" s="19"/>
      <c r="V84" s="30"/>
      <c r="W84" s="19"/>
      <c r="X84" s="19"/>
      <c r="Y84" s="19"/>
      <c r="Z84" s="19"/>
      <c r="AA84" s="19"/>
      <c r="AB84" s="19"/>
      <c r="AC84" s="19"/>
      <c r="AD84" s="19"/>
      <c r="AE84" s="19"/>
      <c r="AF84" s="19" t="s">
        <v>71</v>
      </c>
      <c r="AG84" s="19" t="s">
        <v>71</v>
      </c>
      <c r="AH84" s="30" t="s">
        <v>71</v>
      </c>
      <c r="AI84" s="30" t="s">
        <v>71</v>
      </c>
      <c r="AJ84" s="30" t="s">
        <v>71</v>
      </c>
      <c r="AK84" s="19"/>
      <c r="AL84" s="30"/>
      <c r="AM84" s="30"/>
      <c r="AN84" s="30"/>
      <c r="AO84" s="30"/>
      <c r="AP84" s="19"/>
    </row>
    <row r="85" spans="1:42">
      <c r="A85" s="59"/>
      <c r="B85" s="32"/>
      <c r="C85" s="33"/>
      <c r="D85" s="32"/>
      <c r="E85" s="32"/>
      <c r="F85" s="32"/>
      <c r="G85" s="32" t="s">
        <v>74</v>
      </c>
      <c r="H85" s="53" t="s">
        <v>76</v>
      </c>
      <c r="I85" s="32" t="s">
        <v>25</v>
      </c>
      <c r="J85" s="34" t="s">
        <v>72</v>
      </c>
      <c r="K85" s="35" t="str">
        <f t="shared" ref="K85:AO85" si="20">IF(AND(ISBLANK(K83),ISBLANK(K84)),"A",IFERROR(+MOD(K84-K83,1),0))</f>
        <v>A</v>
      </c>
      <c r="L85" s="35" t="str">
        <f t="shared" si="20"/>
        <v>A</v>
      </c>
      <c r="M85" s="35" t="str">
        <f t="shared" si="20"/>
        <v>A</v>
      </c>
      <c r="N85" s="35">
        <f t="shared" si="20"/>
        <v>0.3611111111111111</v>
      </c>
      <c r="O85" s="35">
        <f t="shared" si="20"/>
        <v>0.36805555555555558</v>
      </c>
      <c r="P85" s="35">
        <f t="shared" si="20"/>
        <v>5.6249999999999967E-2</v>
      </c>
      <c r="Q85" s="35" t="str">
        <f t="shared" si="20"/>
        <v>A</v>
      </c>
      <c r="R85" s="35" t="str">
        <f t="shared" si="20"/>
        <v>A</v>
      </c>
      <c r="S85" s="35" t="str">
        <f t="shared" si="20"/>
        <v>A</v>
      </c>
      <c r="T85" s="35" t="str">
        <f t="shared" si="20"/>
        <v>A</v>
      </c>
      <c r="U85" s="35" t="str">
        <f t="shared" si="20"/>
        <v>A</v>
      </c>
      <c r="V85" s="35" t="str">
        <f t="shared" si="20"/>
        <v>A</v>
      </c>
      <c r="W85" s="35" t="str">
        <f t="shared" si="20"/>
        <v>A</v>
      </c>
      <c r="X85" s="35" t="str">
        <f t="shared" si="20"/>
        <v>A</v>
      </c>
      <c r="Y85" s="35" t="str">
        <f t="shared" si="20"/>
        <v>A</v>
      </c>
      <c r="Z85" s="35" t="str">
        <f t="shared" si="20"/>
        <v>A</v>
      </c>
      <c r="AA85" s="35" t="str">
        <f t="shared" si="20"/>
        <v>A</v>
      </c>
      <c r="AB85" s="35" t="str">
        <f t="shared" si="20"/>
        <v>A</v>
      </c>
      <c r="AC85" s="35" t="str">
        <f t="shared" si="20"/>
        <v>A</v>
      </c>
      <c r="AD85" s="35" t="str">
        <f t="shared" si="20"/>
        <v>A</v>
      </c>
      <c r="AE85" s="35" t="str">
        <f t="shared" si="20"/>
        <v>A</v>
      </c>
      <c r="AF85" s="35" t="s">
        <v>71</v>
      </c>
      <c r="AG85" s="35" t="s">
        <v>71</v>
      </c>
      <c r="AH85" s="35" t="s">
        <v>71</v>
      </c>
      <c r="AI85" s="35" t="s">
        <v>71</v>
      </c>
      <c r="AJ85" s="35" t="s">
        <v>71</v>
      </c>
      <c r="AK85" s="35" t="str">
        <f t="shared" si="20"/>
        <v>A</v>
      </c>
      <c r="AL85" s="35" t="str">
        <f t="shared" si="20"/>
        <v>A</v>
      </c>
      <c r="AM85" s="35" t="str">
        <f t="shared" si="20"/>
        <v>A</v>
      </c>
      <c r="AN85" s="35" t="str">
        <f t="shared" si="20"/>
        <v>A</v>
      </c>
      <c r="AO85" s="35" t="str">
        <f t="shared" si="20"/>
        <v>A</v>
      </c>
      <c r="AP85" s="36"/>
    </row>
    <row r="86" spans="1:42">
      <c r="A86" s="25"/>
      <c r="B86" s="28"/>
      <c r="C86" s="27"/>
      <c r="D86" s="28"/>
      <c r="E86" s="28"/>
      <c r="F86" s="60"/>
      <c r="G86" s="28" t="s">
        <v>69</v>
      </c>
      <c r="H86" s="28" t="s">
        <v>76</v>
      </c>
      <c r="I86" s="28" t="s">
        <v>25</v>
      </c>
      <c r="J86" s="29" t="s">
        <v>13</v>
      </c>
      <c r="K86" s="25" t="s">
        <v>34</v>
      </c>
      <c r="L86" s="25" t="s">
        <v>71</v>
      </c>
      <c r="M86" s="25" t="s">
        <v>34</v>
      </c>
      <c r="N86" s="25" t="s">
        <v>34</v>
      </c>
      <c r="O86" s="25" t="s">
        <v>34</v>
      </c>
      <c r="P86" s="25" t="s">
        <v>34</v>
      </c>
      <c r="Q86" s="25" t="s">
        <v>34</v>
      </c>
      <c r="R86" s="25" t="s">
        <v>34</v>
      </c>
      <c r="S86" s="25" t="s">
        <v>34</v>
      </c>
      <c r="T86" s="25" t="s">
        <v>34</v>
      </c>
      <c r="U86" s="25" t="s">
        <v>34</v>
      </c>
      <c r="V86" s="25" t="s">
        <v>71</v>
      </c>
      <c r="W86" s="25" t="s">
        <v>71</v>
      </c>
      <c r="X86" s="25" t="s">
        <v>71</v>
      </c>
      <c r="Y86" s="25" t="s">
        <v>71</v>
      </c>
      <c r="Z86" s="25" t="s">
        <v>71</v>
      </c>
      <c r="AA86" s="25" t="s">
        <v>71</v>
      </c>
      <c r="AB86" s="25" t="s">
        <v>71</v>
      </c>
      <c r="AC86" s="25" t="s">
        <v>71</v>
      </c>
      <c r="AD86" s="25" t="s">
        <v>71</v>
      </c>
      <c r="AE86" s="25" t="s">
        <v>34</v>
      </c>
      <c r="AF86" s="25" t="s">
        <v>71</v>
      </c>
      <c r="AG86" s="25" t="s">
        <v>71</v>
      </c>
      <c r="AH86" s="25" t="s">
        <v>71</v>
      </c>
      <c r="AI86" s="25" t="s">
        <v>71</v>
      </c>
      <c r="AJ86" s="25" t="s">
        <v>71</v>
      </c>
      <c r="AK86" s="25"/>
      <c r="AL86" s="25"/>
      <c r="AM86" s="25"/>
      <c r="AN86" s="25"/>
      <c r="AO86" s="25"/>
      <c r="AP86" s="19">
        <f>COUNTIF(K86:AO86,"p")</f>
        <v>11</v>
      </c>
    </row>
    <row r="87" spans="1:42">
      <c r="A87" s="25"/>
      <c r="B87" s="28"/>
      <c r="C87" s="27"/>
      <c r="D87" s="28"/>
      <c r="E87" s="28"/>
      <c r="F87" s="60"/>
      <c r="G87" s="28" t="s">
        <v>69</v>
      </c>
      <c r="H87" s="28" t="s">
        <v>76</v>
      </c>
      <c r="I87" s="28" t="s">
        <v>25</v>
      </c>
      <c r="J87" s="29" t="s">
        <v>32</v>
      </c>
      <c r="K87" s="30">
        <v>0.79166666666666663</v>
      </c>
      <c r="L87" s="30"/>
      <c r="M87" s="30">
        <v>0.375</v>
      </c>
      <c r="N87" s="30">
        <v>0.36805555555555558</v>
      </c>
      <c r="O87" s="30">
        <v>0.37152777777777773</v>
      </c>
      <c r="P87" s="30">
        <v>0.37152777777777773</v>
      </c>
      <c r="Q87" s="30">
        <v>0.37152777777777773</v>
      </c>
      <c r="R87" s="30">
        <v>0.37152777777777773</v>
      </c>
      <c r="S87" s="30">
        <v>0.3298611111111111</v>
      </c>
      <c r="T87" s="30">
        <v>0.375</v>
      </c>
      <c r="U87" s="30">
        <v>0.37152777777777773</v>
      </c>
      <c r="V87" s="30"/>
      <c r="W87" s="30"/>
      <c r="X87" s="30"/>
      <c r="Y87" s="30"/>
      <c r="Z87" s="30"/>
      <c r="AA87" s="30"/>
      <c r="AB87" s="30"/>
      <c r="AC87" s="30"/>
      <c r="AD87" s="30"/>
      <c r="AE87" s="30">
        <v>0.375</v>
      </c>
      <c r="AF87" s="30" t="s">
        <v>71</v>
      </c>
      <c r="AG87" s="30" t="s">
        <v>71</v>
      </c>
      <c r="AH87" s="30" t="s">
        <v>71</v>
      </c>
      <c r="AI87" s="30" t="s">
        <v>71</v>
      </c>
      <c r="AJ87" s="30" t="s">
        <v>71</v>
      </c>
      <c r="AK87" s="30"/>
      <c r="AL87" s="30"/>
      <c r="AM87" s="30"/>
      <c r="AN87" s="30"/>
      <c r="AO87" s="30"/>
      <c r="AP87" s="19"/>
    </row>
    <row r="88" spans="1:42">
      <c r="A88" s="25"/>
      <c r="B88" s="28"/>
      <c r="C88" s="27"/>
      <c r="D88" s="28"/>
      <c r="E88" s="28"/>
      <c r="F88" s="60"/>
      <c r="G88" s="28" t="s">
        <v>69</v>
      </c>
      <c r="H88" s="28" t="s">
        <v>76</v>
      </c>
      <c r="I88" s="28" t="s">
        <v>25</v>
      </c>
      <c r="J88" s="29" t="s">
        <v>33</v>
      </c>
      <c r="K88" s="30">
        <v>0.16666666666666666</v>
      </c>
      <c r="L88" s="30"/>
      <c r="M88" s="30">
        <v>0.75</v>
      </c>
      <c r="N88" s="30">
        <v>0.83333333333333337</v>
      </c>
      <c r="O88" s="30">
        <v>0.76527777777777783</v>
      </c>
      <c r="P88" s="30">
        <v>0.83333333333333337</v>
      </c>
      <c r="Q88" s="30">
        <v>0.79166666666666663</v>
      </c>
      <c r="R88" s="30">
        <v>0.84375</v>
      </c>
      <c r="S88" s="30">
        <v>0.71180555555555547</v>
      </c>
      <c r="T88" s="30">
        <v>0.75</v>
      </c>
      <c r="U88" s="30">
        <v>0.66666666666666663</v>
      </c>
      <c r="V88" s="30"/>
      <c r="W88" s="30"/>
      <c r="X88" s="30"/>
      <c r="Y88" s="30"/>
      <c r="Z88" s="30"/>
      <c r="AA88" s="30"/>
      <c r="AB88" s="30"/>
      <c r="AC88" s="30"/>
      <c r="AD88" s="30"/>
      <c r="AE88" s="30">
        <v>0.75</v>
      </c>
      <c r="AF88" s="30" t="s">
        <v>71</v>
      </c>
      <c r="AG88" s="30" t="s">
        <v>71</v>
      </c>
      <c r="AH88" s="30" t="s">
        <v>71</v>
      </c>
      <c r="AI88" s="30" t="s">
        <v>71</v>
      </c>
      <c r="AJ88" s="30" t="s">
        <v>71</v>
      </c>
      <c r="AK88" s="30"/>
      <c r="AL88" s="30"/>
      <c r="AM88" s="30"/>
      <c r="AN88" s="30"/>
      <c r="AO88" s="30"/>
      <c r="AP88" s="19"/>
    </row>
    <row r="89" spans="1:42">
      <c r="A89" s="45"/>
      <c r="B89" s="32"/>
      <c r="C89" s="33"/>
      <c r="D89" s="32"/>
      <c r="E89" s="32"/>
      <c r="F89" s="61"/>
      <c r="G89" s="32" t="s">
        <v>69</v>
      </c>
      <c r="H89" s="32" t="s">
        <v>76</v>
      </c>
      <c r="I89" s="32" t="s">
        <v>25</v>
      </c>
      <c r="J89" s="34" t="s">
        <v>72</v>
      </c>
      <c r="K89" s="35">
        <f t="shared" ref="K89:AO89" si="21">IF(AND(ISBLANK(K87),ISBLANK(K88)),"A",IFERROR(+MOD(K88-K87,1),0))</f>
        <v>0.375</v>
      </c>
      <c r="L89" s="35" t="str">
        <f t="shared" si="21"/>
        <v>A</v>
      </c>
      <c r="M89" s="35">
        <f t="shared" si="21"/>
        <v>0.375</v>
      </c>
      <c r="N89" s="35">
        <f t="shared" si="21"/>
        <v>0.46527777777777779</v>
      </c>
      <c r="O89" s="35">
        <f t="shared" si="21"/>
        <v>0.3937500000000001</v>
      </c>
      <c r="P89" s="35">
        <f t="shared" si="21"/>
        <v>0.46180555555555564</v>
      </c>
      <c r="Q89" s="35">
        <f t="shared" si="21"/>
        <v>0.4201388888888889</v>
      </c>
      <c r="R89" s="35">
        <f t="shared" si="21"/>
        <v>0.47222222222222227</v>
      </c>
      <c r="S89" s="35">
        <f t="shared" si="21"/>
        <v>0.38194444444444436</v>
      </c>
      <c r="T89" s="35">
        <f t="shared" si="21"/>
        <v>0.375</v>
      </c>
      <c r="U89" s="35">
        <f t="shared" si="21"/>
        <v>0.2951388888888889</v>
      </c>
      <c r="V89" s="35" t="str">
        <f t="shared" si="21"/>
        <v>A</v>
      </c>
      <c r="W89" s="35" t="str">
        <f t="shared" si="21"/>
        <v>A</v>
      </c>
      <c r="X89" s="35" t="str">
        <f t="shared" si="21"/>
        <v>A</v>
      </c>
      <c r="Y89" s="35" t="str">
        <f t="shared" si="21"/>
        <v>A</v>
      </c>
      <c r="Z89" s="35" t="str">
        <f t="shared" si="21"/>
        <v>A</v>
      </c>
      <c r="AA89" s="35" t="str">
        <f t="shared" si="21"/>
        <v>A</v>
      </c>
      <c r="AB89" s="35" t="str">
        <f t="shared" si="21"/>
        <v>A</v>
      </c>
      <c r="AC89" s="35" t="str">
        <f t="shared" si="21"/>
        <v>A</v>
      </c>
      <c r="AD89" s="35" t="str">
        <f t="shared" si="21"/>
        <v>A</v>
      </c>
      <c r="AE89" s="35">
        <f t="shared" si="21"/>
        <v>0.375</v>
      </c>
      <c r="AF89" s="35" t="s">
        <v>71</v>
      </c>
      <c r="AG89" s="35" t="s">
        <v>71</v>
      </c>
      <c r="AH89" s="35" t="s">
        <v>71</v>
      </c>
      <c r="AI89" s="35" t="s">
        <v>71</v>
      </c>
      <c r="AJ89" s="35" t="s">
        <v>71</v>
      </c>
      <c r="AK89" s="35" t="str">
        <f t="shared" si="21"/>
        <v>A</v>
      </c>
      <c r="AL89" s="35" t="str">
        <f t="shared" si="21"/>
        <v>A</v>
      </c>
      <c r="AM89" s="35" t="str">
        <f t="shared" si="21"/>
        <v>A</v>
      </c>
      <c r="AN89" s="35" t="str">
        <f t="shared" si="21"/>
        <v>A</v>
      </c>
      <c r="AO89" s="35" t="str">
        <f t="shared" si="21"/>
        <v>A</v>
      </c>
      <c r="AP89" s="36"/>
    </row>
    <row r="90" spans="1:42">
      <c r="A90" s="25"/>
      <c r="B90" s="28"/>
      <c r="C90" s="27"/>
      <c r="D90" s="28"/>
      <c r="E90" s="28"/>
      <c r="F90" s="60"/>
      <c r="G90" s="28" t="s">
        <v>69</v>
      </c>
      <c r="H90" s="28" t="s">
        <v>76</v>
      </c>
      <c r="I90" s="28" t="s">
        <v>77</v>
      </c>
      <c r="J90" s="29" t="s">
        <v>13</v>
      </c>
      <c r="K90" s="25" t="s">
        <v>34</v>
      </c>
      <c r="L90" s="25" t="s">
        <v>71</v>
      </c>
      <c r="M90" s="25" t="s">
        <v>71</v>
      </c>
      <c r="N90" s="25" t="s">
        <v>34</v>
      </c>
      <c r="O90" s="25" t="s">
        <v>34</v>
      </c>
      <c r="P90" s="25" t="s">
        <v>34</v>
      </c>
      <c r="Q90" s="25" t="s">
        <v>34</v>
      </c>
      <c r="R90" s="25" t="s">
        <v>34</v>
      </c>
      <c r="S90" s="25" t="s">
        <v>71</v>
      </c>
      <c r="T90" s="25" t="s">
        <v>34</v>
      </c>
      <c r="U90" s="25" t="s">
        <v>34</v>
      </c>
      <c r="V90" s="25" t="s">
        <v>71</v>
      </c>
      <c r="W90" s="25" t="s">
        <v>71</v>
      </c>
      <c r="X90" s="25" t="s">
        <v>71</v>
      </c>
      <c r="Y90" s="25" t="s">
        <v>71</v>
      </c>
      <c r="Z90" s="25" t="s">
        <v>71</v>
      </c>
      <c r="AA90" s="25" t="s">
        <v>71</v>
      </c>
      <c r="AB90" s="25" t="s">
        <v>71</v>
      </c>
      <c r="AC90" s="25" t="s">
        <v>71</v>
      </c>
      <c r="AD90" s="25" t="s">
        <v>71</v>
      </c>
      <c r="AE90" s="25" t="s">
        <v>71</v>
      </c>
      <c r="AF90" s="25" t="s">
        <v>71</v>
      </c>
      <c r="AG90" s="25" t="s">
        <v>71</v>
      </c>
      <c r="AH90" s="25" t="s">
        <v>71</v>
      </c>
      <c r="AI90" s="25" t="s">
        <v>71</v>
      </c>
      <c r="AJ90" s="25" t="s">
        <v>71</v>
      </c>
      <c r="AK90" s="25" t="s">
        <v>71</v>
      </c>
      <c r="AL90" s="25" t="s">
        <v>71</v>
      </c>
      <c r="AM90" s="25" t="s">
        <v>71</v>
      </c>
      <c r="AN90" s="25" t="s">
        <v>71</v>
      </c>
      <c r="AO90" s="25" t="s">
        <v>71</v>
      </c>
      <c r="AP90" s="19">
        <f>COUNTIF(K90:AO90,"p")</f>
        <v>8</v>
      </c>
    </row>
    <row r="91" spans="1:42">
      <c r="A91" s="25"/>
      <c r="B91" s="28"/>
      <c r="C91" s="27"/>
      <c r="D91" s="28"/>
      <c r="E91" s="28"/>
      <c r="F91" s="60"/>
      <c r="G91" s="28" t="s">
        <v>69</v>
      </c>
      <c r="H91" s="28" t="s">
        <v>76</v>
      </c>
      <c r="I91" s="28" t="s">
        <v>77</v>
      </c>
      <c r="J91" s="29" t="s">
        <v>32</v>
      </c>
      <c r="K91" s="30">
        <v>0.80555555555555547</v>
      </c>
      <c r="L91" s="30"/>
      <c r="M91" s="30"/>
      <c r="N91" s="30">
        <v>0.375</v>
      </c>
      <c r="O91" s="30">
        <v>0.37152777777777773</v>
      </c>
      <c r="P91" s="30">
        <v>0.36805555555555558</v>
      </c>
      <c r="Q91" s="30">
        <v>0.37152777777777773</v>
      </c>
      <c r="R91" s="30">
        <v>0.36805555555555558</v>
      </c>
      <c r="S91" s="30"/>
      <c r="T91" s="30">
        <v>0.375</v>
      </c>
      <c r="U91" s="30">
        <v>0.36805555555555558</v>
      </c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25" t="s">
        <v>71</v>
      </c>
      <c r="AG91" s="25" t="s">
        <v>71</v>
      </c>
      <c r="AH91" s="25" t="s">
        <v>71</v>
      </c>
      <c r="AI91" s="25" t="s">
        <v>71</v>
      </c>
      <c r="AJ91" s="25" t="s">
        <v>71</v>
      </c>
      <c r="AK91" s="30"/>
      <c r="AL91" s="30"/>
      <c r="AM91" s="30"/>
      <c r="AN91" s="30"/>
      <c r="AO91" s="30"/>
      <c r="AP91" s="19"/>
    </row>
    <row r="92" spans="1:42">
      <c r="A92" s="25"/>
      <c r="B92" s="28"/>
      <c r="C92" s="27"/>
      <c r="D92" s="28"/>
      <c r="E92" s="28"/>
      <c r="F92" s="60"/>
      <c r="G92" s="28" t="s">
        <v>69</v>
      </c>
      <c r="H92" s="28" t="s">
        <v>76</v>
      </c>
      <c r="I92" s="28" t="s">
        <v>77</v>
      </c>
      <c r="J92" s="29" t="s">
        <v>33</v>
      </c>
      <c r="K92" s="30">
        <v>0.16666666666666666</v>
      </c>
      <c r="L92" s="30"/>
      <c r="M92" s="30"/>
      <c r="N92" s="30">
        <v>0.83333333333333337</v>
      </c>
      <c r="O92" s="30">
        <v>0.75</v>
      </c>
      <c r="P92" s="30">
        <v>0.79166666666666663</v>
      </c>
      <c r="Q92" s="30">
        <v>0.75</v>
      </c>
      <c r="R92" s="30">
        <v>0.77083333333333337</v>
      </c>
      <c r="S92" s="30"/>
      <c r="T92" s="30">
        <v>0.75</v>
      </c>
      <c r="U92" s="30">
        <v>0.75347222222222221</v>
      </c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25" t="s">
        <v>71</v>
      </c>
      <c r="AG92" s="25" t="s">
        <v>71</v>
      </c>
      <c r="AH92" s="25" t="s">
        <v>71</v>
      </c>
      <c r="AI92" s="25" t="s">
        <v>71</v>
      </c>
      <c r="AJ92" s="25" t="s">
        <v>71</v>
      </c>
      <c r="AK92" s="30"/>
      <c r="AL92" s="30"/>
      <c r="AM92" s="30"/>
      <c r="AN92" s="30"/>
      <c r="AO92" s="30"/>
      <c r="AP92" s="19"/>
    </row>
    <row r="93" spans="1:42">
      <c r="A93" s="45"/>
      <c r="B93" s="32"/>
      <c r="C93" s="33"/>
      <c r="D93" s="32"/>
      <c r="E93" s="32"/>
      <c r="F93" s="61"/>
      <c r="G93" s="32" t="s">
        <v>69</v>
      </c>
      <c r="H93" s="32" t="s">
        <v>76</v>
      </c>
      <c r="I93" s="32" t="s">
        <v>77</v>
      </c>
      <c r="J93" s="34" t="s">
        <v>72</v>
      </c>
      <c r="K93" s="35">
        <f t="shared" ref="K93:AO93" si="22">IF(AND(ISBLANK(K91),ISBLANK(K92)),"A",IFERROR(+MOD(K92-K91,1),0))</f>
        <v>0.36111111111111116</v>
      </c>
      <c r="L93" s="35" t="str">
        <f t="shared" si="22"/>
        <v>A</v>
      </c>
      <c r="M93" s="35" t="str">
        <f t="shared" si="22"/>
        <v>A</v>
      </c>
      <c r="N93" s="35">
        <f t="shared" si="22"/>
        <v>0.45833333333333337</v>
      </c>
      <c r="O93" s="35">
        <f t="shared" si="22"/>
        <v>0.37847222222222227</v>
      </c>
      <c r="P93" s="35">
        <f t="shared" si="22"/>
        <v>0.42361111111111105</v>
      </c>
      <c r="Q93" s="35">
        <f t="shared" si="22"/>
        <v>0.37847222222222227</v>
      </c>
      <c r="R93" s="35">
        <f t="shared" si="22"/>
        <v>0.40277777777777779</v>
      </c>
      <c r="S93" s="35" t="str">
        <f t="shared" si="22"/>
        <v>A</v>
      </c>
      <c r="T93" s="35">
        <f t="shared" si="22"/>
        <v>0.375</v>
      </c>
      <c r="U93" s="35">
        <f t="shared" si="22"/>
        <v>0.38541666666666663</v>
      </c>
      <c r="V93" s="35" t="str">
        <f t="shared" si="22"/>
        <v>A</v>
      </c>
      <c r="W93" s="35" t="str">
        <f t="shared" si="22"/>
        <v>A</v>
      </c>
      <c r="X93" s="35" t="str">
        <f t="shared" si="22"/>
        <v>A</v>
      </c>
      <c r="Y93" s="35" t="str">
        <f t="shared" si="22"/>
        <v>A</v>
      </c>
      <c r="Z93" s="35" t="str">
        <f t="shared" si="22"/>
        <v>A</v>
      </c>
      <c r="AA93" s="35" t="str">
        <f t="shared" si="22"/>
        <v>A</v>
      </c>
      <c r="AB93" s="35" t="str">
        <f t="shared" si="22"/>
        <v>A</v>
      </c>
      <c r="AC93" s="35" t="str">
        <f t="shared" si="22"/>
        <v>A</v>
      </c>
      <c r="AD93" s="35" t="str">
        <f t="shared" si="22"/>
        <v>A</v>
      </c>
      <c r="AE93" s="35" t="str">
        <f t="shared" si="22"/>
        <v>A</v>
      </c>
      <c r="AF93" s="35" t="s">
        <v>71</v>
      </c>
      <c r="AG93" s="35" t="s">
        <v>71</v>
      </c>
      <c r="AH93" s="35" t="s">
        <v>71</v>
      </c>
      <c r="AI93" s="35" t="s">
        <v>71</v>
      </c>
      <c r="AJ93" s="35" t="s">
        <v>71</v>
      </c>
      <c r="AK93" s="35" t="str">
        <f t="shared" si="22"/>
        <v>A</v>
      </c>
      <c r="AL93" s="35" t="str">
        <f t="shared" si="22"/>
        <v>A</v>
      </c>
      <c r="AM93" s="35" t="str">
        <f t="shared" si="22"/>
        <v>A</v>
      </c>
      <c r="AN93" s="35" t="str">
        <f t="shared" si="22"/>
        <v>A</v>
      </c>
      <c r="AO93" s="35" t="str">
        <f t="shared" si="22"/>
        <v>A</v>
      </c>
      <c r="AP93" s="36"/>
    </row>
    <row r="94" spans="1:42">
      <c r="A94" s="25"/>
      <c r="B94" s="28"/>
      <c r="C94" s="27"/>
      <c r="D94" s="28"/>
      <c r="E94" s="28"/>
      <c r="F94" s="60"/>
      <c r="G94" s="28" t="s">
        <v>69</v>
      </c>
      <c r="H94" s="28" t="s">
        <v>76</v>
      </c>
      <c r="I94" s="28" t="s">
        <v>25</v>
      </c>
      <c r="J94" s="29" t="s">
        <v>13</v>
      </c>
      <c r="K94" s="25" t="s">
        <v>34</v>
      </c>
      <c r="L94" s="25" t="s">
        <v>34</v>
      </c>
      <c r="M94" s="25" t="s">
        <v>34</v>
      </c>
      <c r="N94" s="25" t="s">
        <v>34</v>
      </c>
      <c r="O94" s="25" t="s">
        <v>34</v>
      </c>
      <c r="P94" s="25" t="s">
        <v>34</v>
      </c>
      <c r="Q94" s="25" t="s">
        <v>34</v>
      </c>
      <c r="R94" s="25" t="s">
        <v>71</v>
      </c>
      <c r="S94" s="25" t="s">
        <v>71</v>
      </c>
      <c r="T94" s="25" t="s">
        <v>71</v>
      </c>
      <c r="U94" s="25" t="s">
        <v>71</v>
      </c>
      <c r="V94" s="25" t="s">
        <v>71</v>
      </c>
      <c r="W94" s="25" t="s">
        <v>71</v>
      </c>
      <c r="X94" s="25" t="s">
        <v>71</v>
      </c>
      <c r="Y94" s="25" t="s">
        <v>71</v>
      </c>
      <c r="Z94" s="25" t="s">
        <v>71</v>
      </c>
      <c r="AA94" s="25" t="s">
        <v>71</v>
      </c>
      <c r="AB94" s="25" t="s">
        <v>71</v>
      </c>
      <c r="AC94" s="25" t="s">
        <v>71</v>
      </c>
      <c r="AD94" s="25" t="s">
        <v>71</v>
      </c>
      <c r="AE94" s="25" t="s">
        <v>71</v>
      </c>
      <c r="AF94" s="25" t="s">
        <v>71</v>
      </c>
      <c r="AG94" s="25" t="s">
        <v>71</v>
      </c>
      <c r="AH94" s="25" t="s">
        <v>71</v>
      </c>
      <c r="AI94" s="25" t="s">
        <v>71</v>
      </c>
      <c r="AJ94" s="25" t="s">
        <v>71</v>
      </c>
      <c r="AK94" s="25"/>
      <c r="AL94" s="25"/>
      <c r="AM94" s="25"/>
      <c r="AN94" s="25"/>
      <c r="AO94" s="25"/>
      <c r="AP94" s="19">
        <f>COUNTIF(K94:AO94,"p")</f>
        <v>7</v>
      </c>
    </row>
    <row r="95" spans="1:42">
      <c r="A95" s="25"/>
      <c r="B95" s="28"/>
      <c r="C95" s="27"/>
      <c r="D95" s="28"/>
      <c r="E95" s="28"/>
      <c r="F95" s="60"/>
      <c r="G95" s="28" t="s">
        <v>69</v>
      </c>
      <c r="H95" s="28" t="s">
        <v>76</v>
      </c>
      <c r="I95" s="28" t="s">
        <v>25</v>
      </c>
      <c r="J95" s="29" t="s">
        <v>32</v>
      </c>
      <c r="K95" s="30">
        <v>0.375</v>
      </c>
      <c r="L95" s="30">
        <v>0.375</v>
      </c>
      <c r="M95" s="30">
        <v>0.375</v>
      </c>
      <c r="N95" s="30">
        <v>0.375</v>
      </c>
      <c r="O95" s="30">
        <v>0.36805555555555558</v>
      </c>
      <c r="P95" s="30">
        <v>0.36805555555555558</v>
      </c>
      <c r="Q95" s="30">
        <v>0.3666666666666667</v>
      </c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25" t="s">
        <v>71</v>
      </c>
      <c r="AG95" s="25" t="s">
        <v>71</v>
      </c>
      <c r="AH95" s="25" t="s">
        <v>71</v>
      </c>
      <c r="AI95" s="25" t="s">
        <v>71</v>
      </c>
      <c r="AJ95" s="25" t="s">
        <v>71</v>
      </c>
      <c r="AK95" s="30"/>
      <c r="AL95" s="30"/>
      <c r="AM95" s="30"/>
      <c r="AN95" s="30"/>
      <c r="AO95" s="30"/>
      <c r="AP95" s="19"/>
    </row>
    <row r="96" spans="1:42">
      <c r="A96" s="25"/>
      <c r="B96" s="28"/>
      <c r="C96" s="27"/>
      <c r="D96" s="28"/>
      <c r="E96" s="28"/>
      <c r="F96" s="60"/>
      <c r="G96" s="28" t="s">
        <v>69</v>
      </c>
      <c r="H96" s="28" t="s">
        <v>76</v>
      </c>
      <c r="I96" s="28" t="s">
        <v>25</v>
      </c>
      <c r="J96" s="29" t="s">
        <v>33</v>
      </c>
      <c r="K96" s="30">
        <v>0.86111111111111116</v>
      </c>
      <c r="L96" s="30">
        <v>0.83333333333333337</v>
      </c>
      <c r="M96" s="30">
        <v>0.75</v>
      </c>
      <c r="N96" s="30">
        <v>0.76388888888888884</v>
      </c>
      <c r="O96" s="30">
        <v>0.76388888888888884</v>
      </c>
      <c r="P96" s="30">
        <v>0.83333333333333337</v>
      </c>
      <c r="Q96" s="30">
        <v>0.5625</v>
      </c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25" t="s">
        <v>71</v>
      </c>
      <c r="AG96" s="25" t="s">
        <v>71</v>
      </c>
      <c r="AH96" s="25" t="s">
        <v>71</v>
      </c>
      <c r="AI96" s="25" t="s">
        <v>71</v>
      </c>
      <c r="AJ96" s="25" t="s">
        <v>71</v>
      </c>
      <c r="AK96" s="30"/>
      <c r="AL96" s="30"/>
      <c r="AM96" s="30"/>
      <c r="AN96" s="30"/>
      <c r="AO96" s="30"/>
      <c r="AP96" s="19"/>
    </row>
    <row r="97" spans="1:42">
      <c r="A97" s="45"/>
      <c r="B97" s="32"/>
      <c r="C97" s="33"/>
      <c r="D97" s="32"/>
      <c r="E97" s="32"/>
      <c r="F97" s="61"/>
      <c r="G97" s="32" t="s">
        <v>69</v>
      </c>
      <c r="H97" s="32" t="s">
        <v>76</v>
      </c>
      <c r="I97" s="32" t="s">
        <v>25</v>
      </c>
      <c r="J97" s="34" t="s">
        <v>72</v>
      </c>
      <c r="K97" s="35">
        <f t="shared" ref="K97:AO97" si="23">IF(AND(ISBLANK(K95),ISBLANK(K96)),"A",IFERROR(+MOD(K96-K95,1),0))</f>
        <v>0.48611111111111116</v>
      </c>
      <c r="L97" s="35">
        <f t="shared" si="23"/>
        <v>0.45833333333333337</v>
      </c>
      <c r="M97" s="35">
        <f t="shared" si="23"/>
        <v>0.375</v>
      </c>
      <c r="N97" s="35">
        <f t="shared" si="23"/>
        <v>0.38888888888888884</v>
      </c>
      <c r="O97" s="35">
        <f t="shared" si="23"/>
        <v>0.39583333333333326</v>
      </c>
      <c r="P97" s="35">
        <f t="shared" si="23"/>
        <v>0.46527777777777779</v>
      </c>
      <c r="Q97" s="35">
        <f t="shared" si="23"/>
        <v>0.1958333333333333</v>
      </c>
      <c r="R97" s="35" t="str">
        <f t="shared" si="23"/>
        <v>A</v>
      </c>
      <c r="S97" s="35" t="str">
        <f t="shared" si="23"/>
        <v>A</v>
      </c>
      <c r="T97" s="35" t="str">
        <f t="shared" si="23"/>
        <v>A</v>
      </c>
      <c r="U97" s="35" t="str">
        <f t="shared" si="23"/>
        <v>A</v>
      </c>
      <c r="V97" s="35" t="str">
        <f t="shared" si="23"/>
        <v>A</v>
      </c>
      <c r="W97" s="35" t="str">
        <f t="shared" si="23"/>
        <v>A</v>
      </c>
      <c r="X97" s="35" t="str">
        <f t="shared" si="23"/>
        <v>A</v>
      </c>
      <c r="Y97" s="35" t="str">
        <f t="shared" si="23"/>
        <v>A</v>
      </c>
      <c r="Z97" s="35" t="str">
        <f t="shared" si="23"/>
        <v>A</v>
      </c>
      <c r="AA97" s="35" t="str">
        <f t="shared" si="23"/>
        <v>A</v>
      </c>
      <c r="AB97" s="35" t="str">
        <f t="shared" si="23"/>
        <v>A</v>
      </c>
      <c r="AC97" s="35" t="str">
        <f t="shared" si="23"/>
        <v>A</v>
      </c>
      <c r="AD97" s="35" t="str">
        <f t="shared" si="23"/>
        <v>A</v>
      </c>
      <c r="AE97" s="35" t="str">
        <f t="shared" si="23"/>
        <v>A</v>
      </c>
      <c r="AF97" s="35" t="s">
        <v>71</v>
      </c>
      <c r="AG97" s="35" t="s">
        <v>71</v>
      </c>
      <c r="AH97" s="35" t="s">
        <v>71</v>
      </c>
      <c r="AI97" s="35" t="s">
        <v>71</v>
      </c>
      <c r="AJ97" s="35" t="s">
        <v>71</v>
      </c>
      <c r="AK97" s="35" t="str">
        <f t="shared" si="23"/>
        <v>A</v>
      </c>
      <c r="AL97" s="35" t="str">
        <f t="shared" si="23"/>
        <v>A</v>
      </c>
      <c r="AM97" s="35" t="str">
        <f t="shared" si="23"/>
        <v>A</v>
      </c>
      <c r="AN97" s="35" t="str">
        <f t="shared" si="23"/>
        <v>A</v>
      </c>
      <c r="AO97" s="35" t="str">
        <f t="shared" si="23"/>
        <v>A</v>
      </c>
      <c r="AP97" s="36"/>
    </row>
    <row r="98" spans="1:42">
      <c r="A98" s="25"/>
      <c r="B98" s="28"/>
      <c r="C98" s="27"/>
      <c r="D98" s="28"/>
      <c r="E98" s="28"/>
      <c r="F98" s="60"/>
      <c r="G98" s="28" t="s">
        <v>69</v>
      </c>
      <c r="H98" s="28" t="s">
        <v>76</v>
      </c>
      <c r="I98" s="28" t="s">
        <v>25</v>
      </c>
      <c r="J98" s="29" t="s">
        <v>13</v>
      </c>
      <c r="K98" s="25" t="s">
        <v>34</v>
      </c>
      <c r="L98" s="25" t="s">
        <v>34</v>
      </c>
      <c r="M98" s="25" t="s">
        <v>71</v>
      </c>
      <c r="N98" s="25" t="s">
        <v>34</v>
      </c>
      <c r="O98" s="25" t="s">
        <v>71</v>
      </c>
      <c r="P98" s="25" t="s">
        <v>71</v>
      </c>
      <c r="Q98" s="25" t="s">
        <v>71</v>
      </c>
      <c r="R98" s="25" t="s">
        <v>71</v>
      </c>
      <c r="S98" s="25" t="s">
        <v>71</v>
      </c>
      <c r="T98" s="25" t="s">
        <v>71</v>
      </c>
      <c r="U98" s="25" t="s">
        <v>71</v>
      </c>
      <c r="V98" s="25" t="s">
        <v>71</v>
      </c>
      <c r="W98" s="25" t="s">
        <v>71</v>
      </c>
      <c r="X98" s="25" t="s">
        <v>71</v>
      </c>
      <c r="Y98" s="25" t="s">
        <v>71</v>
      </c>
      <c r="Z98" s="25" t="s">
        <v>71</v>
      </c>
      <c r="AA98" s="25" t="s">
        <v>71</v>
      </c>
      <c r="AB98" s="25" t="s">
        <v>71</v>
      </c>
      <c r="AC98" s="25" t="s">
        <v>71</v>
      </c>
      <c r="AD98" s="25" t="s">
        <v>71</v>
      </c>
      <c r="AE98" s="25" t="s">
        <v>71</v>
      </c>
      <c r="AF98" s="25" t="s">
        <v>71</v>
      </c>
      <c r="AG98" s="25" t="s">
        <v>71</v>
      </c>
      <c r="AH98" s="25" t="s">
        <v>71</v>
      </c>
      <c r="AI98" s="25" t="s">
        <v>71</v>
      </c>
      <c r="AJ98" s="25" t="s">
        <v>71</v>
      </c>
      <c r="AK98" s="25"/>
      <c r="AL98" s="25"/>
      <c r="AM98" s="25"/>
      <c r="AN98" s="25"/>
      <c r="AO98" s="25"/>
      <c r="AP98" s="19">
        <f>COUNTIF(K98:AO98,"p")</f>
        <v>3</v>
      </c>
    </row>
    <row r="99" spans="1:42">
      <c r="A99" s="25"/>
      <c r="B99" s="28"/>
      <c r="C99" s="27"/>
      <c r="D99" s="28"/>
      <c r="E99" s="28"/>
      <c r="F99" s="60"/>
      <c r="G99" s="28" t="s">
        <v>69</v>
      </c>
      <c r="H99" s="28" t="s">
        <v>76</v>
      </c>
      <c r="I99" s="28" t="s">
        <v>25</v>
      </c>
      <c r="J99" s="29" t="s">
        <v>32</v>
      </c>
      <c r="K99" s="30">
        <v>0.79166666666666663</v>
      </c>
      <c r="L99" s="30">
        <v>0.79166666666666663</v>
      </c>
      <c r="M99" s="30"/>
      <c r="N99" s="30">
        <v>0.78888888888888886</v>
      </c>
      <c r="O99" s="30"/>
      <c r="P99" s="30"/>
      <c r="Q99" s="30"/>
      <c r="R99" s="19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25" t="s">
        <v>71</v>
      </c>
      <c r="AG99" s="25" t="s">
        <v>71</v>
      </c>
      <c r="AH99" s="25" t="s">
        <v>71</v>
      </c>
      <c r="AI99" s="25" t="s">
        <v>71</v>
      </c>
      <c r="AJ99" s="25" t="s">
        <v>71</v>
      </c>
      <c r="AK99" s="30"/>
      <c r="AL99" s="30"/>
      <c r="AM99" s="30"/>
      <c r="AN99" s="30"/>
      <c r="AO99" s="30"/>
      <c r="AP99" s="19"/>
    </row>
    <row r="100" spans="1:42">
      <c r="A100" s="25"/>
      <c r="B100" s="28"/>
      <c r="C100" s="27"/>
      <c r="D100" s="28"/>
      <c r="E100" s="28"/>
      <c r="F100" s="60"/>
      <c r="G100" s="28" t="s">
        <v>69</v>
      </c>
      <c r="H100" s="28" t="s">
        <v>76</v>
      </c>
      <c r="I100" s="28" t="s">
        <v>25</v>
      </c>
      <c r="J100" s="29" t="s">
        <v>33</v>
      </c>
      <c r="K100" s="30">
        <v>0.16666666666666666</v>
      </c>
      <c r="L100" s="30">
        <v>0.16666666666666666</v>
      </c>
      <c r="M100" s="30"/>
      <c r="N100" s="30">
        <v>0.16666666666666666</v>
      </c>
      <c r="O100" s="30"/>
      <c r="P100" s="30"/>
      <c r="Q100" s="30"/>
      <c r="R100" s="19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25" t="s">
        <v>71</v>
      </c>
      <c r="AG100" s="25" t="s">
        <v>71</v>
      </c>
      <c r="AH100" s="25" t="s">
        <v>71</v>
      </c>
      <c r="AI100" s="25" t="s">
        <v>71</v>
      </c>
      <c r="AJ100" s="25" t="s">
        <v>71</v>
      </c>
      <c r="AK100" s="30"/>
      <c r="AL100" s="30"/>
      <c r="AM100" s="30"/>
      <c r="AN100" s="30"/>
      <c r="AO100" s="30"/>
      <c r="AP100" s="19"/>
    </row>
    <row r="101" spans="1:42">
      <c r="A101" s="45"/>
      <c r="B101" s="32"/>
      <c r="C101" s="33"/>
      <c r="D101" s="32"/>
      <c r="E101" s="32"/>
      <c r="F101" s="61"/>
      <c r="G101" s="32" t="s">
        <v>69</v>
      </c>
      <c r="H101" s="32" t="s">
        <v>76</v>
      </c>
      <c r="I101" s="32" t="s">
        <v>25</v>
      </c>
      <c r="J101" s="34" t="s">
        <v>72</v>
      </c>
      <c r="K101" s="35">
        <f t="shared" ref="K101:AO101" si="24">IF(AND(ISBLANK(K99),ISBLANK(K100)),"A",IFERROR(+MOD(K100-K99,1),0))</f>
        <v>0.375</v>
      </c>
      <c r="L101" s="35">
        <f t="shared" si="24"/>
        <v>0.375</v>
      </c>
      <c r="M101" s="35" t="str">
        <f t="shared" si="24"/>
        <v>A</v>
      </c>
      <c r="N101" s="35">
        <f t="shared" si="24"/>
        <v>0.37777777777777777</v>
      </c>
      <c r="O101" s="35" t="str">
        <f t="shared" si="24"/>
        <v>A</v>
      </c>
      <c r="P101" s="35" t="str">
        <f t="shared" si="24"/>
        <v>A</v>
      </c>
      <c r="Q101" s="35" t="str">
        <f t="shared" si="24"/>
        <v>A</v>
      </c>
      <c r="R101" s="35" t="str">
        <f t="shared" si="24"/>
        <v>A</v>
      </c>
      <c r="S101" s="35" t="str">
        <f t="shared" si="24"/>
        <v>A</v>
      </c>
      <c r="T101" s="35" t="str">
        <f t="shared" si="24"/>
        <v>A</v>
      </c>
      <c r="U101" s="35" t="str">
        <f t="shared" si="24"/>
        <v>A</v>
      </c>
      <c r="V101" s="35" t="str">
        <f t="shared" si="24"/>
        <v>A</v>
      </c>
      <c r="W101" s="35" t="str">
        <f t="shared" si="24"/>
        <v>A</v>
      </c>
      <c r="X101" s="35" t="str">
        <f t="shared" si="24"/>
        <v>A</v>
      </c>
      <c r="Y101" s="35" t="str">
        <f t="shared" si="24"/>
        <v>A</v>
      </c>
      <c r="Z101" s="35" t="str">
        <f t="shared" si="24"/>
        <v>A</v>
      </c>
      <c r="AA101" s="35" t="str">
        <f t="shared" si="24"/>
        <v>A</v>
      </c>
      <c r="AB101" s="35" t="str">
        <f t="shared" si="24"/>
        <v>A</v>
      </c>
      <c r="AC101" s="35" t="str">
        <f t="shared" si="24"/>
        <v>A</v>
      </c>
      <c r="AD101" s="35" t="str">
        <f t="shared" si="24"/>
        <v>A</v>
      </c>
      <c r="AE101" s="35" t="str">
        <f t="shared" si="24"/>
        <v>A</v>
      </c>
      <c r="AF101" s="35" t="s">
        <v>71</v>
      </c>
      <c r="AG101" s="35" t="s">
        <v>71</v>
      </c>
      <c r="AH101" s="35" t="s">
        <v>71</v>
      </c>
      <c r="AI101" s="35" t="s">
        <v>71</v>
      </c>
      <c r="AJ101" s="35" t="s">
        <v>71</v>
      </c>
      <c r="AK101" s="35" t="str">
        <f t="shared" si="24"/>
        <v>A</v>
      </c>
      <c r="AL101" s="35" t="str">
        <f t="shared" si="24"/>
        <v>A</v>
      </c>
      <c r="AM101" s="35" t="str">
        <f t="shared" si="24"/>
        <v>A</v>
      </c>
      <c r="AN101" s="35" t="str">
        <f t="shared" si="24"/>
        <v>A</v>
      </c>
      <c r="AO101" s="35" t="str">
        <f t="shared" si="24"/>
        <v>A</v>
      </c>
      <c r="AP101" s="36"/>
    </row>
    <row r="102" spans="1:42">
      <c r="A102" s="25"/>
      <c r="B102" s="28"/>
      <c r="C102" s="27"/>
      <c r="D102" s="28"/>
      <c r="E102" s="28"/>
      <c r="F102" s="60"/>
      <c r="G102" s="28" t="s">
        <v>69</v>
      </c>
      <c r="H102" s="28" t="s">
        <v>76</v>
      </c>
      <c r="I102" s="28" t="s">
        <v>77</v>
      </c>
      <c r="J102" s="29" t="s">
        <v>13</v>
      </c>
      <c r="K102" s="25" t="s">
        <v>71</v>
      </c>
      <c r="L102" s="25" t="s">
        <v>34</v>
      </c>
      <c r="M102" s="25" t="s">
        <v>71</v>
      </c>
      <c r="N102" s="25" t="s">
        <v>34</v>
      </c>
      <c r="O102" s="25" t="s">
        <v>34</v>
      </c>
      <c r="P102" s="25" t="s">
        <v>34</v>
      </c>
      <c r="Q102" s="25" t="s">
        <v>34</v>
      </c>
      <c r="R102" s="25" t="s">
        <v>34</v>
      </c>
      <c r="S102" s="25" t="s">
        <v>71</v>
      </c>
      <c r="T102" s="54" t="s">
        <v>71</v>
      </c>
      <c r="U102" s="54" t="s">
        <v>71</v>
      </c>
      <c r="V102" s="54" t="s">
        <v>71</v>
      </c>
      <c r="W102" s="54" t="s">
        <v>71</v>
      </c>
      <c r="X102" s="25" t="s">
        <v>71</v>
      </c>
      <c r="Y102" s="25" t="s">
        <v>71</v>
      </c>
      <c r="Z102" s="25" t="s">
        <v>71</v>
      </c>
      <c r="AA102" s="25" t="s">
        <v>71</v>
      </c>
      <c r="AB102" s="25" t="s">
        <v>71</v>
      </c>
      <c r="AC102" s="25" t="s">
        <v>71</v>
      </c>
      <c r="AD102" s="25" t="s">
        <v>71</v>
      </c>
      <c r="AE102" s="25" t="s">
        <v>71</v>
      </c>
      <c r="AF102" s="25" t="s">
        <v>71</v>
      </c>
      <c r="AG102" s="25" t="s">
        <v>71</v>
      </c>
      <c r="AH102" s="25" t="s">
        <v>71</v>
      </c>
      <c r="AI102" s="25" t="s">
        <v>71</v>
      </c>
      <c r="AJ102" s="25" t="s">
        <v>71</v>
      </c>
      <c r="AK102" s="25" t="s">
        <v>71</v>
      </c>
      <c r="AL102" s="25" t="s">
        <v>71</v>
      </c>
      <c r="AM102" s="25" t="s">
        <v>71</v>
      </c>
      <c r="AN102" s="25" t="s">
        <v>71</v>
      </c>
      <c r="AO102" s="25" t="s">
        <v>71</v>
      </c>
      <c r="AP102" s="19">
        <f>COUNTIF(K102:AO102,"p")</f>
        <v>6</v>
      </c>
    </row>
    <row r="103" spans="1:42">
      <c r="A103" s="25"/>
      <c r="B103" s="28"/>
      <c r="C103" s="27"/>
      <c r="D103" s="28"/>
      <c r="E103" s="28"/>
      <c r="F103" s="60"/>
      <c r="G103" s="28" t="s">
        <v>69</v>
      </c>
      <c r="H103" s="28" t="s">
        <v>76</v>
      </c>
      <c r="I103" s="28" t="s">
        <v>77</v>
      </c>
      <c r="J103" s="29" t="s">
        <v>32</v>
      </c>
      <c r="K103" s="30"/>
      <c r="L103" s="30">
        <v>0.80208333333333337</v>
      </c>
      <c r="M103" s="30"/>
      <c r="N103" s="30">
        <v>0.78888888888888886</v>
      </c>
      <c r="O103" s="30">
        <v>0.79166666666666663</v>
      </c>
      <c r="P103" s="30">
        <v>0.79166666666666663</v>
      </c>
      <c r="Q103" s="30">
        <v>0.79166666666666663</v>
      </c>
      <c r="R103" s="30">
        <v>0.83333333333333337</v>
      </c>
      <c r="S103" s="30"/>
      <c r="T103" s="55"/>
      <c r="U103" s="55"/>
      <c r="V103" s="55"/>
      <c r="W103" s="55"/>
      <c r="X103" s="30"/>
      <c r="Y103" s="30"/>
      <c r="Z103" s="30"/>
      <c r="AA103" s="30"/>
      <c r="AB103" s="30"/>
      <c r="AC103" s="30"/>
      <c r="AD103" s="30"/>
      <c r="AE103" s="30"/>
      <c r="AF103" s="25" t="s">
        <v>71</v>
      </c>
      <c r="AG103" s="25" t="s">
        <v>71</v>
      </c>
      <c r="AH103" s="25" t="s">
        <v>71</v>
      </c>
      <c r="AI103" s="25" t="s">
        <v>71</v>
      </c>
      <c r="AJ103" s="25" t="s">
        <v>71</v>
      </c>
      <c r="AK103" s="30"/>
      <c r="AL103" s="30"/>
      <c r="AM103" s="30"/>
      <c r="AN103" s="30"/>
      <c r="AO103" s="19"/>
      <c r="AP103" s="19"/>
    </row>
    <row r="104" spans="1:42">
      <c r="A104" s="25"/>
      <c r="B104" s="28"/>
      <c r="C104" s="27"/>
      <c r="D104" s="28"/>
      <c r="E104" s="28"/>
      <c r="F104" s="60"/>
      <c r="G104" s="28" t="s">
        <v>69</v>
      </c>
      <c r="H104" s="28" t="s">
        <v>76</v>
      </c>
      <c r="I104" s="28" t="s">
        <v>77</v>
      </c>
      <c r="J104" s="29" t="s">
        <v>33</v>
      </c>
      <c r="K104" s="30"/>
      <c r="L104" s="30">
        <v>0.16666666666666666</v>
      </c>
      <c r="M104" s="30"/>
      <c r="N104" s="30">
        <v>0.16666666666666666</v>
      </c>
      <c r="O104" s="30">
        <v>0.16666666666666666</v>
      </c>
      <c r="P104" s="30">
        <v>0.16666666666666666</v>
      </c>
      <c r="Q104" s="30">
        <v>0.16666666666666666</v>
      </c>
      <c r="R104" s="30">
        <v>0.16666666666666666</v>
      </c>
      <c r="S104" s="30"/>
      <c r="T104" s="55"/>
      <c r="U104" s="55"/>
      <c r="V104" s="55"/>
      <c r="W104" s="55"/>
      <c r="X104" s="30"/>
      <c r="Y104" s="30"/>
      <c r="Z104" s="30"/>
      <c r="AA104" s="30"/>
      <c r="AB104" s="30"/>
      <c r="AC104" s="30"/>
      <c r="AD104" s="30"/>
      <c r="AE104" s="30"/>
      <c r="AF104" s="25" t="s">
        <v>71</v>
      </c>
      <c r="AG104" s="25" t="s">
        <v>71</v>
      </c>
      <c r="AH104" s="25" t="s">
        <v>71</v>
      </c>
      <c r="AI104" s="25" t="s">
        <v>71</v>
      </c>
      <c r="AJ104" s="25" t="s">
        <v>71</v>
      </c>
      <c r="AK104" s="30"/>
      <c r="AL104" s="30"/>
      <c r="AM104" s="30"/>
      <c r="AN104" s="30"/>
      <c r="AO104" s="19"/>
      <c r="AP104" s="19"/>
    </row>
    <row r="105" spans="1:42">
      <c r="A105" s="45"/>
      <c r="B105" s="32"/>
      <c r="C105" s="33"/>
      <c r="D105" s="32"/>
      <c r="E105" s="32"/>
      <c r="F105" s="61"/>
      <c r="G105" s="32" t="s">
        <v>69</v>
      </c>
      <c r="H105" s="32" t="s">
        <v>76</v>
      </c>
      <c r="I105" s="32" t="s">
        <v>77</v>
      </c>
      <c r="J105" s="34" t="s">
        <v>72</v>
      </c>
      <c r="K105" s="35" t="str">
        <f t="shared" ref="K105:AO105" si="25">IF(AND(ISBLANK(K103),ISBLANK(K104)),"A",IFERROR(+MOD(K104-K103,1),0))</f>
        <v>A</v>
      </c>
      <c r="L105" s="35">
        <f t="shared" si="25"/>
        <v>0.36458333333333326</v>
      </c>
      <c r="M105" s="35" t="str">
        <f t="shared" si="25"/>
        <v>A</v>
      </c>
      <c r="N105" s="35">
        <f t="shared" si="25"/>
        <v>0.37777777777777777</v>
      </c>
      <c r="O105" s="35">
        <f t="shared" si="25"/>
        <v>0.375</v>
      </c>
      <c r="P105" s="35">
        <f t="shared" si="25"/>
        <v>0.375</v>
      </c>
      <c r="Q105" s="35">
        <f t="shared" si="25"/>
        <v>0.375</v>
      </c>
      <c r="R105" s="35">
        <f t="shared" si="25"/>
        <v>0.33333333333333326</v>
      </c>
      <c r="S105" s="35" t="str">
        <f t="shared" si="25"/>
        <v>A</v>
      </c>
      <c r="T105" s="35" t="str">
        <f t="shared" si="25"/>
        <v>A</v>
      </c>
      <c r="U105" s="35" t="str">
        <f t="shared" si="25"/>
        <v>A</v>
      </c>
      <c r="V105" s="35" t="str">
        <f t="shared" si="25"/>
        <v>A</v>
      </c>
      <c r="W105" s="35" t="str">
        <f t="shared" si="25"/>
        <v>A</v>
      </c>
      <c r="X105" s="35" t="str">
        <f t="shared" si="25"/>
        <v>A</v>
      </c>
      <c r="Y105" s="35" t="str">
        <f t="shared" si="25"/>
        <v>A</v>
      </c>
      <c r="Z105" s="35" t="str">
        <f t="shared" si="25"/>
        <v>A</v>
      </c>
      <c r="AA105" s="35" t="str">
        <f t="shared" si="25"/>
        <v>A</v>
      </c>
      <c r="AB105" s="35" t="str">
        <f t="shared" si="25"/>
        <v>A</v>
      </c>
      <c r="AC105" s="35" t="str">
        <f t="shared" si="25"/>
        <v>A</v>
      </c>
      <c r="AD105" s="35" t="str">
        <f t="shared" si="25"/>
        <v>A</v>
      </c>
      <c r="AE105" s="35" t="str">
        <f t="shared" si="25"/>
        <v>A</v>
      </c>
      <c r="AF105" s="35" t="s">
        <v>71</v>
      </c>
      <c r="AG105" s="35" t="s">
        <v>71</v>
      </c>
      <c r="AH105" s="35" t="s">
        <v>71</v>
      </c>
      <c r="AI105" s="35" t="s">
        <v>71</v>
      </c>
      <c r="AJ105" s="35" t="s">
        <v>71</v>
      </c>
      <c r="AK105" s="35" t="str">
        <f t="shared" si="25"/>
        <v>A</v>
      </c>
      <c r="AL105" s="35" t="str">
        <f t="shared" si="25"/>
        <v>A</v>
      </c>
      <c r="AM105" s="35" t="str">
        <f t="shared" si="25"/>
        <v>A</v>
      </c>
      <c r="AN105" s="35" t="str">
        <f t="shared" si="25"/>
        <v>A</v>
      </c>
      <c r="AO105" s="35" t="str">
        <f t="shared" si="25"/>
        <v>A</v>
      </c>
      <c r="AP105" s="36"/>
    </row>
    <row r="106" spans="1:42">
      <c r="A106" s="25"/>
      <c r="B106" s="28"/>
      <c r="C106" s="27"/>
      <c r="D106" s="28"/>
      <c r="E106" s="28"/>
      <c r="F106" s="60"/>
      <c r="G106" s="28" t="s">
        <v>69</v>
      </c>
      <c r="H106" s="28" t="s">
        <v>76</v>
      </c>
      <c r="I106" s="28" t="s">
        <v>25</v>
      </c>
      <c r="J106" s="29" t="s">
        <v>13</v>
      </c>
      <c r="K106" s="25" t="s">
        <v>34</v>
      </c>
      <c r="L106" s="25" t="s">
        <v>34</v>
      </c>
      <c r="M106" s="25" t="s">
        <v>71</v>
      </c>
      <c r="N106" s="25" t="s">
        <v>34</v>
      </c>
      <c r="O106" s="25" t="s">
        <v>34</v>
      </c>
      <c r="P106" s="25" t="s">
        <v>34</v>
      </c>
      <c r="Q106" s="25" t="s">
        <v>34</v>
      </c>
      <c r="R106" s="25" t="s">
        <v>71</v>
      </c>
      <c r="S106" s="25" t="s">
        <v>71</v>
      </c>
      <c r="T106" s="54" t="s">
        <v>71</v>
      </c>
      <c r="U106" s="25" t="s">
        <v>34</v>
      </c>
      <c r="V106" s="25" t="s">
        <v>71</v>
      </c>
      <c r="W106" s="25" t="s">
        <v>71</v>
      </c>
      <c r="X106" s="25" t="s">
        <v>71</v>
      </c>
      <c r="Y106" s="25" t="s">
        <v>71</v>
      </c>
      <c r="Z106" s="25" t="s">
        <v>71</v>
      </c>
      <c r="AA106" s="25" t="s">
        <v>71</v>
      </c>
      <c r="AB106" s="25" t="s">
        <v>71</v>
      </c>
      <c r="AC106" s="25" t="s">
        <v>71</v>
      </c>
      <c r="AD106" s="25" t="s">
        <v>71</v>
      </c>
      <c r="AE106" s="25" t="s">
        <v>71</v>
      </c>
      <c r="AF106" s="25" t="s">
        <v>71</v>
      </c>
      <c r="AG106" s="25" t="s">
        <v>71</v>
      </c>
      <c r="AH106" s="25" t="s">
        <v>71</v>
      </c>
      <c r="AI106" s="25" t="s">
        <v>71</v>
      </c>
      <c r="AJ106" s="25" t="s">
        <v>71</v>
      </c>
      <c r="AK106" s="25"/>
      <c r="AL106" s="25"/>
      <c r="AM106" s="25"/>
      <c r="AN106" s="25"/>
      <c r="AO106" s="25"/>
      <c r="AP106" s="19">
        <f>COUNTIF(K106:AO106,"p")</f>
        <v>7</v>
      </c>
    </row>
    <row r="107" spans="1:42">
      <c r="A107" s="25"/>
      <c r="B107" s="28"/>
      <c r="C107" s="27"/>
      <c r="D107" s="28"/>
      <c r="E107" s="28"/>
      <c r="F107" s="60"/>
      <c r="G107" s="28" t="s">
        <v>69</v>
      </c>
      <c r="H107" s="28" t="s">
        <v>76</v>
      </c>
      <c r="I107" s="28" t="s">
        <v>25</v>
      </c>
      <c r="J107" s="29" t="s">
        <v>32</v>
      </c>
      <c r="K107" s="30">
        <v>0.79166666666666663</v>
      </c>
      <c r="L107" s="30">
        <v>0.79166666666666663</v>
      </c>
      <c r="M107" s="30"/>
      <c r="N107" s="30">
        <v>0.79166666666666663</v>
      </c>
      <c r="O107" s="30">
        <v>0.79166666666666663</v>
      </c>
      <c r="P107" s="30">
        <v>0.80833333333333324</v>
      </c>
      <c r="Q107" s="30">
        <v>0.83333333333333337</v>
      </c>
      <c r="R107" s="30"/>
      <c r="S107" s="30"/>
      <c r="T107" s="55"/>
      <c r="U107" s="30">
        <v>0.7895833333333333</v>
      </c>
      <c r="V107" s="30"/>
      <c r="W107" s="30"/>
      <c r="X107" s="30"/>
      <c r="Y107" s="30"/>
      <c r="Z107" s="30">
        <v>0.375</v>
      </c>
      <c r="AA107" s="30"/>
      <c r="AB107" s="30"/>
      <c r="AC107" s="30"/>
      <c r="AD107" s="30"/>
      <c r="AE107" s="30"/>
      <c r="AF107" s="25" t="s">
        <v>71</v>
      </c>
      <c r="AG107" s="25" t="s">
        <v>71</v>
      </c>
      <c r="AH107" s="25" t="s">
        <v>71</v>
      </c>
      <c r="AI107" s="25" t="s">
        <v>71</v>
      </c>
      <c r="AJ107" s="25" t="s">
        <v>71</v>
      </c>
      <c r="AK107" s="30"/>
      <c r="AL107" s="30"/>
      <c r="AM107" s="30"/>
      <c r="AN107" s="19"/>
      <c r="AO107" s="19"/>
      <c r="AP107" s="19"/>
    </row>
    <row r="108" spans="1:42">
      <c r="A108" s="25"/>
      <c r="B108" s="28"/>
      <c r="C108" s="27"/>
      <c r="D108" s="28"/>
      <c r="E108" s="28"/>
      <c r="F108" s="60"/>
      <c r="G108" s="28" t="s">
        <v>69</v>
      </c>
      <c r="H108" s="28" t="s">
        <v>76</v>
      </c>
      <c r="I108" s="28" t="s">
        <v>25</v>
      </c>
      <c r="J108" s="29" t="s">
        <v>33</v>
      </c>
      <c r="K108" s="30">
        <v>0.16666666666666666</v>
      </c>
      <c r="L108" s="30">
        <v>0.16666666666666666</v>
      </c>
      <c r="M108" s="30"/>
      <c r="N108" s="30">
        <v>0.16666666666666666</v>
      </c>
      <c r="O108" s="30">
        <v>0.16666666666666666</v>
      </c>
      <c r="P108" s="30">
        <v>0.16666666666666666</v>
      </c>
      <c r="Q108" s="30">
        <v>0.16666666666666666</v>
      </c>
      <c r="R108" s="30"/>
      <c r="S108" s="30"/>
      <c r="T108" s="55"/>
      <c r="U108" s="30">
        <v>0.16666666666666666</v>
      </c>
      <c r="V108" s="30"/>
      <c r="W108" s="30"/>
      <c r="X108" s="30"/>
      <c r="Y108" s="30"/>
      <c r="Z108" s="30">
        <v>0.41666666666666669</v>
      </c>
      <c r="AA108" s="30"/>
      <c r="AB108" s="30"/>
      <c r="AC108" s="30"/>
      <c r="AD108" s="30"/>
      <c r="AE108" s="30"/>
      <c r="AF108" s="25" t="s">
        <v>71</v>
      </c>
      <c r="AG108" s="25" t="s">
        <v>71</v>
      </c>
      <c r="AH108" s="25" t="s">
        <v>71</v>
      </c>
      <c r="AI108" s="25" t="s">
        <v>71</v>
      </c>
      <c r="AJ108" s="25" t="s">
        <v>71</v>
      </c>
      <c r="AK108" s="30"/>
      <c r="AL108" s="30"/>
      <c r="AM108" s="30"/>
      <c r="AN108" s="19"/>
      <c r="AO108" s="19"/>
      <c r="AP108" s="19"/>
    </row>
    <row r="109" spans="1:42">
      <c r="A109" s="45"/>
      <c r="B109" s="32"/>
      <c r="C109" s="33"/>
      <c r="D109" s="32"/>
      <c r="E109" s="32"/>
      <c r="F109" s="61"/>
      <c r="G109" s="32" t="s">
        <v>69</v>
      </c>
      <c r="H109" s="32" t="s">
        <v>76</v>
      </c>
      <c r="I109" s="32" t="s">
        <v>25</v>
      </c>
      <c r="J109" s="34" t="s">
        <v>72</v>
      </c>
      <c r="K109" s="35">
        <f t="shared" ref="K109:AO109" si="26">IF(AND(ISBLANK(K107),ISBLANK(K108)),"A",IFERROR(+MOD(K108-K107,1),0))</f>
        <v>0.375</v>
      </c>
      <c r="L109" s="35">
        <f t="shared" si="26"/>
        <v>0.375</v>
      </c>
      <c r="M109" s="35" t="str">
        <f t="shared" si="26"/>
        <v>A</v>
      </c>
      <c r="N109" s="35">
        <f t="shared" si="26"/>
        <v>0.375</v>
      </c>
      <c r="O109" s="35">
        <f t="shared" si="26"/>
        <v>0.375</v>
      </c>
      <c r="P109" s="35">
        <f t="shared" si="26"/>
        <v>0.35833333333333339</v>
      </c>
      <c r="Q109" s="35">
        <f t="shared" si="26"/>
        <v>0.33333333333333326</v>
      </c>
      <c r="R109" s="35" t="str">
        <f t="shared" si="26"/>
        <v>A</v>
      </c>
      <c r="S109" s="35" t="str">
        <f t="shared" si="26"/>
        <v>A</v>
      </c>
      <c r="T109" s="35" t="str">
        <f t="shared" si="26"/>
        <v>A</v>
      </c>
      <c r="U109" s="35">
        <f t="shared" si="26"/>
        <v>0.37708333333333333</v>
      </c>
      <c r="V109" s="35" t="str">
        <f t="shared" si="26"/>
        <v>A</v>
      </c>
      <c r="W109" s="35" t="str">
        <f t="shared" si="26"/>
        <v>A</v>
      </c>
      <c r="X109" s="35" t="str">
        <f t="shared" si="26"/>
        <v>A</v>
      </c>
      <c r="Y109" s="35" t="str">
        <f t="shared" si="26"/>
        <v>A</v>
      </c>
      <c r="Z109" s="35">
        <f t="shared" si="26"/>
        <v>4.1666666666666685E-2</v>
      </c>
      <c r="AA109" s="35" t="str">
        <f t="shared" si="26"/>
        <v>A</v>
      </c>
      <c r="AB109" s="35" t="str">
        <f t="shared" si="26"/>
        <v>A</v>
      </c>
      <c r="AC109" s="35" t="str">
        <f t="shared" si="26"/>
        <v>A</v>
      </c>
      <c r="AD109" s="35" t="str">
        <f t="shared" si="26"/>
        <v>A</v>
      </c>
      <c r="AE109" s="35" t="str">
        <f t="shared" si="26"/>
        <v>A</v>
      </c>
      <c r="AF109" s="35" t="s">
        <v>71</v>
      </c>
      <c r="AG109" s="35" t="s">
        <v>71</v>
      </c>
      <c r="AH109" s="35" t="s">
        <v>71</v>
      </c>
      <c r="AI109" s="35" t="s">
        <v>71</v>
      </c>
      <c r="AJ109" s="35" t="s">
        <v>71</v>
      </c>
      <c r="AK109" s="35" t="str">
        <f t="shared" si="26"/>
        <v>A</v>
      </c>
      <c r="AL109" s="35" t="str">
        <f t="shared" si="26"/>
        <v>A</v>
      </c>
      <c r="AM109" s="35" t="str">
        <f t="shared" si="26"/>
        <v>A</v>
      </c>
      <c r="AN109" s="35" t="str">
        <f t="shared" si="26"/>
        <v>A</v>
      </c>
      <c r="AO109" s="35" t="str">
        <f t="shared" si="26"/>
        <v>A</v>
      </c>
      <c r="AP109" s="36"/>
    </row>
    <row r="110" spans="1:42">
      <c r="A110" s="25"/>
      <c r="B110" s="28"/>
      <c r="C110" s="27"/>
      <c r="D110" s="28"/>
      <c r="E110" s="28"/>
      <c r="F110" s="60"/>
      <c r="G110" s="28" t="s">
        <v>69</v>
      </c>
      <c r="H110" s="28" t="s">
        <v>76</v>
      </c>
      <c r="I110" s="28" t="s">
        <v>77</v>
      </c>
      <c r="J110" s="29" t="s">
        <v>13</v>
      </c>
      <c r="K110" s="25" t="s">
        <v>34</v>
      </c>
      <c r="L110" s="25" t="s">
        <v>71</v>
      </c>
      <c r="M110" s="25" t="s">
        <v>71</v>
      </c>
      <c r="N110" s="25" t="s">
        <v>71</v>
      </c>
      <c r="O110" s="25" t="s">
        <v>71</v>
      </c>
      <c r="P110" s="25" t="s">
        <v>71</v>
      </c>
      <c r="Q110" s="25" t="s">
        <v>71</v>
      </c>
      <c r="R110" s="25" t="s">
        <v>71</v>
      </c>
      <c r="S110" s="25" t="s">
        <v>71</v>
      </c>
      <c r="T110" s="25" t="s">
        <v>71</v>
      </c>
      <c r="U110" s="25" t="s">
        <v>71</v>
      </c>
      <c r="V110" s="25" t="s">
        <v>71</v>
      </c>
      <c r="W110" s="25" t="s">
        <v>71</v>
      </c>
      <c r="X110" s="25" t="s">
        <v>71</v>
      </c>
      <c r="Y110" s="25" t="s">
        <v>71</v>
      </c>
      <c r="Z110" s="25" t="s">
        <v>71</v>
      </c>
      <c r="AA110" s="25" t="s">
        <v>71</v>
      </c>
      <c r="AB110" s="25" t="s">
        <v>71</v>
      </c>
      <c r="AC110" s="25" t="s">
        <v>71</v>
      </c>
      <c r="AD110" s="25" t="s">
        <v>71</v>
      </c>
      <c r="AE110" s="25" t="s">
        <v>71</v>
      </c>
      <c r="AF110" s="25" t="s">
        <v>71</v>
      </c>
      <c r="AG110" s="25" t="s">
        <v>71</v>
      </c>
      <c r="AH110" s="25" t="s">
        <v>71</v>
      </c>
      <c r="AI110" s="25" t="s">
        <v>71</v>
      </c>
      <c r="AJ110" s="25" t="s">
        <v>71</v>
      </c>
      <c r="AK110" s="25" t="s">
        <v>71</v>
      </c>
      <c r="AL110" s="25" t="s">
        <v>71</v>
      </c>
      <c r="AM110" s="25" t="s">
        <v>71</v>
      </c>
      <c r="AN110" s="25" t="s">
        <v>71</v>
      </c>
      <c r="AO110" s="25" t="s">
        <v>71</v>
      </c>
      <c r="AP110" s="19">
        <f>COUNTIF(K110:AO110,"p")</f>
        <v>1</v>
      </c>
    </row>
    <row r="111" spans="1:42">
      <c r="A111" s="25"/>
      <c r="B111" s="28"/>
      <c r="C111" s="27"/>
      <c r="D111" s="28"/>
      <c r="E111" s="28"/>
      <c r="F111" s="60"/>
      <c r="G111" s="28" t="s">
        <v>69</v>
      </c>
      <c r="H111" s="28" t="s">
        <v>76</v>
      </c>
      <c r="I111" s="28" t="s">
        <v>77</v>
      </c>
      <c r="J111" s="29" t="s">
        <v>32</v>
      </c>
      <c r="K111" s="30">
        <v>0.375</v>
      </c>
      <c r="L111" s="30"/>
      <c r="M111" s="30"/>
      <c r="N111" s="30"/>
      <c r="O111" s="30"/>
      <c r="P111" s="30"/>
      <c r="Q111" s="30"/>
      <c r="R111" s="30"/>
      <c r="S111" s="19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25" t="s">
        <v>71</v>
      </c>
      <c r="AG111" s="25" t="s">
        <v>71</v>
      </c>
      <c r="AH111" s="25" t="s">
        <v>71</v>
      </c>
      <c r="AI111" s="25" t="s">
        <v>71</v>
      </c>
      <c r="AJ111" s="25" t="s">
        <v>71</v>
      </c>
      <c r="AK111" s="30"/>
      <c r="AL111" s="30"/>
      <c r="AM111" s="30"/>
      <c r="AN111" s="19"/>
      <c r="AO111" s="19"/>
      <c r="AP111" s="19"/>
    </row>
    <row r="112" spans="1:42">
      <c r="A112" s="25"/>
      <c r="B112" s="28"/>
      <c r="C112" s="27"/>
      <c r="D112" s="28"/>
      <c r="E112" s="28"/>
      <c r="F112" s="60"/>
      <c r="G112" s="28" t="s">
        <v>69</v>
      </c>
      <c r="H112" s="28" t="s">
        <v>76</v>
      </c>
      <c r="I112" s="28" t="s">
        <v>77</v>
      </c>
      <c r="J112" s="29" t="s">
        <v>33</v>
      </c>
      <c r="K112" s="30">
        <v>0.75</v>
      </c>
      <c r="L112" s="30"/>
      <c r="M112" s="30"/>
      <c r="N112" s="30"/>
      <c r="O112" s="30"/>
      <c r="P112" s="30"/>
      <c r="Q112" s="30"/>
      <c r="R112" s="30"/>
      <c r="S112" s="19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25" t="s">
        <v>71</v>
      </c>
      <c r="AG112" s="25" t="s">
        <v>71</v>
      </c>
      <c r="AH112" s="25" t="s">
        <v>71</v>
      </c>
      <c r="AI112" s="25" t="s">
        <v>71</v>
      </c>
      <c r="AJ112" s="25" t="s">
        <v>71</v>
      </c>
      <c r="AK112" s="30"/>
      <c r="AL112" s="30"/>
      <c r="AM112" s="30"/>
      <c r="AN112" s="19"/>
      <c r="AO112" s="19"/>
      <c r="AP112" s="19"/>
    </row>
    <row r="113" spans="1:42">
      <c r="A113" s="31"/>
      <c r="B113" s="32"/>
      <c r="C113" s="33"/>
      <c r="D113" s="32"/>
      <c r="E113" s="32"/>
      <c r="F113" s="61"/>
      <c r="G113" s="32" t="s">
        <v>69</v>
      </c>
      <c r="H113" s="32" t="s">
        <v>76</v>
      </c>
      <c r="I113" s="32" t="s">
        <v>77</v>
      </c>
      <c r="J113" s="34" t="s">
        <v>72</v>
      </c>
      <c r="K113" s="35">
        <f t="shared" ref="K113:AO113" si="27">IF(AND(ISBLANK(K111),ISBLANK(K112)),"A",IFERROR(+MOD(K112-K111,1),0))</f>
        <v>0.375</v>
      </c>
      <c r="L113" s="35" t="str">
        <f t="shared" si="27"/>
        <v>A</v>
      </c>
      <c r="M113" s="35" t="str">
        <f t="shared" si="27"/>
        <v>A</v>
      </c>
      <c r="N113" s="35" t="str">
        <f t="shared" si="27"/>
        <v>A</v>
      </c>
      <c r="O113" s="35" t="str">
        <f t="shared" si="27"/>
        <v>A</v>
      </c>
      <c r="P113" s="35" t="str">
        <f t="shared" si="27"/>
        <v>A</v>
      </c>
      <c r="Q113" s="35" t="str">
        <f t="shared" si="27"/>
        <v>A</v>
      </c>
      <c r="R113" s="35" t="str">
        <f t="shared" si="27"/>
        <v>A</v>
      </c>
      <c r="S113" s="35" t="str">
        <f t="shared" si="27"/>
        <v>A</v>
      </c>
      <c r="T113" s="35" t="str">
        <f t="shared" si="27"/>
        <v>A</v>
      </c>
      <c r="U113" s="35" t="str">
        <f t="shared" si="27"/>
        <v>A</v>
      </c>
      <c r="V113" s="35" t="str">
        <f t="shared" si="27"/>
        <v>A</v>
      </c>
      <c r="W113" s="35" t="str">
        <f t="shared" si="27"/>
        <v>A</v>
      </c>
      <c r="X113" s="35" t="str">
        <f t="shared" si="27"/>
        <v>A</v>
      </c>
      <c r="Y113" s="35" t="str">
        <f t="shared" si="27"/>
        <v>A</v>
      </c>
      <c r="Z113" s="35" t="str">
        <f t="shared" si="27"/>
        <v>A</v>
      </c>
      <c r="AA113" s="35" t="str">
        <f t="shared" si="27"/>
        <v>A</v>
      </c>
      <c r="AB113" s="35" t="str">
        <f t="shared" si="27"/>
        <v>A</v>
      </c>
      <c r="AC113" s="35" t="str">
        <f t="shared" si="27"/>
        <v>A</v>
      </c>
      <c r="AD113" s="35" t="str">
        <f t="shared" si="27"/>
        <v>A</v>
      </c>
      <c r="AE113" s="35" t="str">
        <f t="shared" si="27"/>
        <v>A</v>
      </c>
      <c r="AF113" s="35" t="s">
        <v>71</v>
      </c>
      <c r="AG113" s="35" t="s">
        <v>71</v>
      </c>
      <c r="AH113" s="35" t="s">
        <v>71</v>
      </c>
      <c r="AI113" s="35" t="s">
        <v>71</v>
      </c>
      <c r="AJ113" s="35" t="s">
        <v>71</v>
      </c>
      <c r="AK113" s="35" t="str">
        <f t="shared" si="27"/>
        <v>A</v>
      </c>
      <c r="AL113" s="35" t="str">
        <f t="shared" si="27"/>
        <v>A</v>
      </c>
      <c r="AM113" s="35" t="str">
        <f t="shared" si="27"/>
        <v>A</v>
      </c>
      <c r="AN113" s="35" t="str">
        <f t="shared" si="27"/>
        <v>A</v>
      </c>
      <c r="AO113" s="35" t="str">
        <f t="shared" si="27"/>
        <v>A</v>
      </c>
      <c r="AP113" s="36"/>
    </row>
    <row r="114" spans="1:42">
      <c r="A114" s="25"/>
      <c r="B114" s="28"/>
      <c r="C114" s="27"/>
      <c r="D114" s="28"/>
      <c r="E114" s="28"/>
      <c r="F114" s="60"/>
      <c r="G114" s="28" t="s">
        <v>69</v>
      </c>
      <c r="H114" s="28" t="s">
        <v>70</v>
      </c>
      <c r="I114" s="28" t="s">
        <v>25</v>
      </c>
      <c r="J114" s="29" t="s">
        <v>13</v>
      </c>
      <c r="K114" s="25" t="s">
        <v>34</v>
      </c>
      <c r="L114" s="25" t="s">
        <v>34</v>
      </c>
      <c r="M114" s="25" t="s">
        <v>71</v>
      </c>
      <c r="N114" s="25" t="s">
        <v>34</v>
      </c>
      <c r="O114" s="25" t="s">
        <v>34</v>
      </c>
      <c r="P114" s="25" t="s">
        <v>34</v>
      </c>
      <c r="Q114" s="25" t="s">
        <v>34</v>
      </c>
      <c r="R114" s="25" t="s">
        <v>34</v>
      </c>
      <c r="S114" s="25" t="s">
        <v>71</v>
      </c>
      <c r="T114" s="25" t="s">
        <v>71</v>
      </c>
      <c r="U114" s="25" t="s">
        <v>34</v>
      </c>
      <c r="V114" s="25" t="s">
        <v>34</v>
      </c>
      <c r="W114" s="25" t="s">
        <v>34</v>
      </c>
      <c r="X114" s="25" t="s">
        <v>34</v>
      </c>
      <c r="Y114" s="25" t="s">
        <v>47</v>
      </c>
      <c r="Z114" s="25" t="s">
        <v>34</v>
      </c>
      <c r="AA114" s="25" t="s">
        <v>34</v>
      </c>
      <c r="AB114" s="25" t="s">
        <v>34</v>
      </c>
      <c r="AC114" s="25" t="s">
        <v>34</v>
      </c>
      <c r="AD114" s="25" t="s">
        <v>34</v>
      </c>
      <c r="AE114" s="25" t="s">
        <v>34</v>
      </c>
      <c r="AF114" s="25" t="s">
        <v>34</v>
      </c>
      <c r="AG114" s="25" t="s">
        <v>34</v>
      </c>
      <c r="AH114" s="25" t="s">
        <v>34</v>
      </c>
      <c r="AI114" s="25" t="s">
        <v>34</v>
      </c>
      <c r="AJ114" s="25" t="s">
        <v>34</v>
      </c>
      <c r="AK114" s="25"/>
      <c r="AL114" s="25"/>
      <c r="AM114" s="25"/>
      <c r="AN114" s="25"/>
      <c r="AO114" s="25"/>
      <c r="AP114" s="19">
        <f>COUNTIF(K114:AO114,"p")</f>
        <v>22</v>
      </c>
    </row>
    <row r="115" spans="1:42">
      <c r="A115" s="25"/>
      <c r="B115" s="28"/>
      <c r="C115" s="27"/>
      <c r="D115" s="28"/>
      <c r="E115" s="28"/>
      <c r="F115" s="60"/>
      <c r="G115" s="28" t="s">
        <v>69</v>
      </c>
      <c r="H115" s="28" t="s">
        <v>70</v>
      </c>
      <c r="I115" s="28" t="s">
        <v>25</v>
      </c>
      <c r="J115" s="29" t="s">
        <v>32</v>
      </c>
      <c r="K115" s="30">
        <v>0.375</v>
      </c>
      <c r="L115" s="30">
        <v>0.375</v>
      </c>
      <c r="M115" s="30"/>
      <c r="N115" s="30">
        <v>0.38541666666666669</v>
      </c>
      <c r="O115" s="30">
        <v>0.37916666666666665</v>
      </c>
      <c r="P115" s="30">
        <v>0.3888888888888889</v>
      </c>
      <c r="Q115" s="30">
        <v>0.375</v>
      </c>
      <c r="R115" s="30">
        <v>0.37847222222222227</v>
      </c>
      <c r="S115" s="30"/>
      <c r="T115" s="30"/>
      <c r="U115" s="30">
        <v>0.37847222222222227</v>
      </c>
      <c r="V115" s="30">
        <v>0.375</v>
      </c>
      <c r="W115" s="30">
        <v>0.375</v>
      </c>
      <c r="X115" s="30">
        <v>0.38194444444444442</v>
      </c>
      <c r="Y115" s="30"/>
      <c r="Z115" s="30">
        <v>0.375</v>
      </c>
      <c r="AA115" s="30">
        <v>0.375</v>
      </c>
      <c r="AB115" s="30">
        <v>0.375</v>
      </c>
      <c r="AC115" s="30">
        <v>0.375</v>
      </c>
      <c r="AD115" s="30">
        <v>0.375</v>
      </c>
      <c r="AE115" s="30">
        <v>0.375</v>
      </c>
      <c r="AF115" s="30">
        <v>0.375</v>
      </c>
      <c r="AG115" s="30">
        <v>0.375</v>
      </c>
      <c r="AH115" s="30">
        <v>0.375</v>
      </c>
      <c r="AI115" s="30">
        <v>0.375</v>
      </c>
      <c r="AJ115" s="30">
        <v>0.375</v>
      </c>
      <c r="AK115" s="30"/>
      <c r="AL115" s="30"/>
      <c r="AM115" s="30"/>
      <c r="AN115" s="30"/>
      <c r="AO115" s="30"/>
      <c r="AP115" s="19"/>
    </row>
    <row r="116" spans="1:42">
      <c r="A116" s="25"/>
      <c r="B116" s="28"/>
      <c r="C116" s="27"/>
      <c r="D116" s="28"/>
      <c r="E116" s="28"/>
      <c r="F116" s="60"/>
      <c r="G116" s="28" t="s">
        <v>69</v>
      </c>
      <c r="H116" s="28" t="s">
        <v>70</v>
      </c>
      <c r="I116" s="28" t="s">
        <v>25</v>
      </c>
      <c r="J116" s="29" t="s">
        <v>33</v>
      </c>
      <c r="K116" s="30">
        <v>0.78472222222222221</v>
      </c>
      <c r="L116" s="30">
        <v>0.75</v>
      </c>
      <c r="M116" s="30"/>
      <c r="N116" s="30">
        <v>0.8125</v>
      </c>
      <c r="O116" s="30">
        <v>0.78472222222222221</v>
      </c>
      <c r="P116" s="30">
        <v>0.79166666666666663</v>
      </c>
      <c r="Q116" s="30">
        <v>0.80208333333333337</v>
      </c>
      <c r="R116" s="30">
        <v>0.75555555555555554</v>
      </c>
      <c r="S116" s="30"/>
      <c r="T116" s="30"/>
      <c r="U116" s="30">
        <v>0.88541666666666663</v>
      </c>
      <c r="V116" s="30">
        <v>0.75</v>
      </c>
      <c r="W116" s="30">
        <v>0.76041666666666663</v>
      </c>
      <c r="X116" s="30">
        <v>0.79513888888888884</v>
      </c>
      <c r="Y116" s="30"/>
      <c r="Z116" s="30">
        <v>0.75</v>
      </c>
      <c r="AA116" s="30">
        <v>0.45833333333333331</v>
      </c>
      <c r="AB116" s="30">
        <v>0.80347222222222225</v>
      </c>
      <c r="AC116" s="30">
        <v>0.75</v>
      </c>
      <c r="AD116" s="30">
        <v>0.79166666666666663</v>
      </c>
      <c r="AE116" s="30">
        <v>0.79166666666666663</v>
      </c>
      <c r="AF116" s="30">
        <v>0.79166666666666663</v>
      </c>
      <c r="AG116" s="30">
        <v>0.875</v>
      </c>
      <c r="AH116" s="30">
        <v>0.78472222222222221</v>
      </c>
      <c r="AI116" s="30">
        <v>0.76388888888888884</v>
      </c>
      <c r="AJ116" s="30"/>
      <c r="AK116" s="30"/>
      <c r="AL116" s="30"/>
      <c r="AM116" s="30"/>
      <c r="AN116" s="30"/>
      <c r="AO116" s="30"/>
      <c r="AP116" s="19"/>
    </row>
    <row r="117" spans="1:42">
      <c r="A117" s="45"/>
      <c r="B117" s="32"/>
      <c r="C117" s="33"/>
      <c r="D117" s="32"/>
      <c r="E117" s="32"/>
      <c r="F117" s="61"/>
      <c r="G117" s="32" t="s">
        <v>69</v>
      </c>
      <c r="H117" s="32" t="s">
        <v>70</v>
      </c>
      <c r="I117" s="32" t="s">
        <v>25</v>
      </c>
      <c r="J117" s="34" t="s">
        <v>72</v>
      </c>
      <c r="K117" s="35">
        <f t="shared" ref="K117:AO117" si="28">IF(AND(ISBLANK(K115),ISBLANK(K116)),"A",IFERROR(+MOD(K116-K115,1),0))</f>
        <v>0.40972222222222221</v>
      </c>
      <c r="L117" s="35">
        <f t="shared" si="28"/>
        <v>0.375</v>
      </c>
      <c r="M117" s="35" t="str">
        <f t="shared" si="28"/>
        <v>A</v>
      </c>
      <c r="N117" s="35">
        <f t="shared" si="28"/>
        <v>0.42708333333333331</v>
      </c>
      <c r="O117" s="35">
        <f t="shared" si="28"/>
        <v>0.40555555555555556</v>
      </c>
      <c r="P117" s="35">
        <f t="shared" si="28"/>
        <v>0.40277777777777773</v>
      </c>
      <c r="Q117" s="35">
        <f t="shared" si="28"/>
        <v>0.42708333333333337</v>
      </c>
      <c r="R117" s="35">
        <f t="shared" si="28"/>
        <v>0.37708333333333327</v>
      </c>
      <c r="S117" s="35" t="str">
        <f t="shared" si="28"/>
        <v>A</v>
      </c>
      <c r="T117" s="35" t="str">
        <f t="shared" si="28"/>
        <v>A</v>
      </c>
      <c r="U117" s="35">
        <f t="shared" si="28"/>
        <v>0.50694444444444442</v>
      </c>
      <c r="V117" s="35">
        <f t="shared" si="28"/>
        <v>0.375</v>
      </c>
      <c r="W117" s="35">
        <f t="shared" si="28"/>
        <v>0.38541666666666663</v>
      </c>
      <c r="X117" s="35">
        <f t="shared" si="28"/>
        <v>0.41319444444444442</v>
      </c>
      <c r="Y117" s="35" t="str">
        <f t="shared" si="28"/>
        <v>A</v>
      </c>
      <c r="Z117" s="35">
        <f t="shared" si="28"/>
        <v>0.375</v>
      </c>
      <c r="AA117" s="35">
        <f t="shared" si="28"/>
        <v>8.3333333333333315E-2</v>
      </c>
      <c r="AB117" s="35">
        <f t="shared" si="28"/>
        <v>0.42847222222222225</v>
      </c>
      <c r="AC117" s="35">
        <f t="shared" si="28"/>
        <v>0.375</v>
      </c>
      <c r="AD117" s="35">
        <f t="shared" si="28"/>
        <v>0.41666666666666663</v>
      </c>
      <c r="AE117" s="35">
        <f t="shared" si="28"/>
        <v>0.41666666666666663</v>
      </c>
      <c r="AF117" s="35">
        <f t="shared" si="28"/>
        <v>0.41666666666666663</v>
      </c>
      <c r="AG117" s="35">
        <f t="shared" si="28"/>
        <v>0.5</v>
      </c>
      <c r="AH117" s="35">
        <f t="shared" si="28"/>
        <v>0.40972222222222221</v>
      </c>
      <c r="AI117" s="35">
        <f t="shared" si="28"/>
        <v>0.38888888888888884</v>
      </c>
      <c r="AJ117" s="35">
        <f t="shared" si="28"/>
        <v>0.625</v>
      </c>
      <c r="AK117" s="35" t="str">
        <f t="shared" si="28"/>
        <v>A</v>
      </c>
      <c r="AL117" s="35" t="str">
        <f t="shared" si="28"/>
        <v>A</v>
      </c>
      <c r="AM117" s="35" t="str">
        <f t="shared" si="28"/>
        <v>A</v>
      </c>
      <c r="AN117" s="35" t="str">
        <f t="shared" si="28"/>
        <v>A</v>
      </c>
      <c r="AO117" s="35" t="str">
        <f t="shared" si="28"/>
        <v>A</v>
      </c>
      <c r="AP117" s="36"/>
    </row>
    <row r="118" spans="1:42">
      <c r="A118" s="25"/>
      <c r="B118" s="28"/>
      <c r="C118" s="27"/>
      <c r="D118" s="28"/>
      <c r="E118" s="28"/>
      <c r="F118" s="60"/>
      <c r="G118" s="28" t="s">
        <v>74</v>
      </c>
      <c r="H118" s="28" t="s">
        <v>73</v>
      </c>
      <c r="I118" s="28" t="s">
        <v>77</v>
      </c>
      <c r="J118" s="29" t="s">
        <v>13</v>
      </c>
      <c r="K118" s="25" t="s">
        <v>71</v>
      </c>
      <c r="L118" s="25" t="s">
        <v>71</v>
      </c>
      <c r="M118" s="25" t="s">
        <v>71</v>
      </c>
      <c r="N118" s="25" t="s">
        <v>71</v>
      </c>
      <c r="O118" s="25" t="s">
        <v>34</v>
      </c>
      <c r="P118" s="25" t="s">
        <v>34</v>
      </c>
      <c r="Q118" s="25" t="s">
        <v>34</v>
      </c>
      <c r="R118" s="25" t="s">
        <v>34</v>
      </c>
      <c r="S118" s="25" t="s">
        <v>71</v>
      </c>
      <c r="T118" s="25" t="s">
        <v>71</v>
      </c>
      <c r="U118" s="25" t="s">
        <v>71</v>
      </c>
      <c r="V118" s="25" t="s">
        <v>71</v>
      </c>
      <c r="W118" s="25" t="s">
        <v>71</v>
      </c>
      <c r="X118" s="25" t="s">
        <v>71</v>
      </c>
      <c r="Y118" s="25" t="s">
        <v>71</v>
      </c>
      <c r="Z118" s="25" t="s">
        <v>71</v>
      </c>
      <c r="AA118" s="25" t="s">
        <v>71</v>
      </c>
      <c r="AB118" s="25" t="s">
        <v>71</v>
      </c>
      <c r="AC118" s="25" t="s">
        <v>71</v>
      </c>
      <c r="AD118" s="25" t="s">
        <v>71</v>
      </c>
      <c r="AE118" s="25" t="s">
        <v>71</v>
      </c>
      <c r="AF118" s="25" t="s">
        <v>71</v>
      </c>
      <c r="AG118" s="25" t="s">
        <v>71</v>
      </c>
      <c r="AH118" s="25" t="s">
        <v>71</v>
      </c>
      <c r="AI118" s="25" t="s">
        <v>71</v>
      </c>
      <c r="AJ118" s="25" t="s">
        <v>71</v>
      </c>
      <c r="AK118" s="25" t="s">
        <v>71</v>
      </c>
      <c r="AL118" s="25" t="s">
        <v>71</v>
      </c>
      <c r="AM118" s="25" t="s">
        <v>71</v>
      </c>
      <c r="AN118" s="25" t="s">
        <v>71</v>
      </c>
      <c r="AO118" s="25" t="s">
        <v>71</v>
      </c>
      <c r="AP118" s="19">
        <f>COUNTIF(K118:AO118,"p")</f>
        <v>4</v>
      </c>
    </row>
    <row r="119" spans="1:42">
      <c r="A119" s="25"/>
      <c r="B119" s="28"/>
      <c r="C119" s="27"/>
      <c r="D119" s="28"/>
      <c r="E119" s="28"/>
      <c r="F119" s="60"/>
      <c r="G119" s="28" t="s">
        <v>74</v>
      </c>
      <c r="H119" s="28" t="s">
        <v>73</v>
      </c>
      <c r="I119" s="28" t="s">
        <v>77</v>
      </c>
      <c r="J119" s="29" t="s">
        <v>32</v>
      </c>
      <c r="K119" s="30"/>
      <c r="L119" s="30"/>
      <c r="M119" s="30"/>
      <c r="N119" s="30"/>
      <c r="O119" s="30">
        <v>0.375</v>
      </c>
      <c r="P119" s="30">
        <v>0.375</v>
      </c>
      <c r="Q119" s="30">
        <v>0.375</v>
      </c>
      <c r="R119" s="30">
        <v>0.375</v>
      </c>
      <c r="S119" s="19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25" t="s">
        <v>71</v>
      </c>
      <c r="AG119" s="25" t="s">
        <v>71</v>
      </c>
      <c r="AH119" s="25" t="s">
        <v>71</v>
      </c>
      <c r="AI119" s="25" t="s">
        <v>71</v>
      </c>
      <c r="AJ119" s="25" t="s">
        <v>71</v>
      </c>
      <c r="AK119" s="30"/>
      <c r="AL119" s="30"/>
      <c r="AM119" s="30"/>
      <c r="AN119" s="19"/>
      <c r="AO119" s="19"/>
      <c r="AP119" s="19"/>
    </row>
    <row r="120" spans="1:42">
      <c r="A120" s="25"/>
      <c r="B120" s="28"/>
      <c r="C120" s="27"/>
      <c r="D120" s="28"/>
      <c r="E120" s="28"/>
      <c r="F120" s="60"/>
      <c r="G120" s="28" t="s">
        <v>74</v>
      </c>
      <c r="H120" s="28" t="s">
        <v>73</v>
      </c>
      <c r="I120" s="28" t="s">
        <v>77</v>
      </c>
      <c r="J120" s="29" t="s">
        <v>33</v>
      </c>
      <c r="K120" s="30"/>
      <c r="L120" s="30"/>
      <c r="M120" s="30"/>
      <c r="N120" s="30"/>
      <c r="O120" s="30">
        <v>0.75</v>
      </c>
      <c r="P120" s="30">
        <v>0.75</v>
      </c>
      <c r="Q120" s="30">
        <v>0.75</v>
      </c>
      <c r="R120" s="30">
        <v>0.75</v>
      </c>
      <c r="S120" s="19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25" t="s">
        <v>71</v>
      </c>
      <c r="AG120" s="25" t="s">
        <v>71</v>
      </c>
      <c r="AH120" s="25" t="s">
        <v>71</v>
      </c>
      <c r="AI120" s="25" t="s">
        <v>71</v>
      </c>
      <c r="AJ120" s="25" t="s">
        <v>71</v>
      </c>
      <c r="AK120" s="30"/>
      <c r="AL120" s="30"/>
      <c r="AM120" s="30"/>
      <c r="AN120" s="19"/>
      <c r="AO120" s="19"/>
      <c r="AP120" s="19"/>
    </row>
    <row r="121" spans="1:42">
      <c r="A121" s="31"/>
      <c r="B121" s="32"/>
      <c r="C121" s="33"/>
      <c r="D121" s="32"/>
      <c r="E121" s="32"/>
      <c r="F121" s="61"/>
      <c r="G121" s="32" t="s">
        <v>74</v>
      </c>
      <c r="H121" s="32" t="s">
        <v>73</v>
      </c>
      <c r="I121" s="32" t="s">
        <v>77</v>
      </c>
      <c r="J121" s="34" t="s">
        <v>72</v>
      </c>
      <c r="K121" s="35" t="str">
        <f t="shared" ref="K121:AO121" si="29">IF(AND(ISBLANK(K119),ISBLANK(K120)),"A",IFERROR(+MOD(K120-K119,1),0))</f>
        <v>A</v>
      </c>
      <c r="L121" s="35" t="str">
        <f t="shared" si="29"/>
        <v>A</v>
      </c>
      <c r="M121" s="35" t="str">
        <f t="shared" si="29"/>
        <v>A</v>
      </c>
      <c r="N121" s="35" t="str">
        <f t="shared" si="29"/>
        <v>A</v>
      </c>
      <c r="O121" s="35">
        <f t="shared" si="29"/>
        <v>0.375</v>
      </c>
      <c r="P121" s="35">
        <f t="shared" si="29"/>
        <v>0.375</v>
      </c>
      <c r="Q121" s="35">
        <f t="shared" si="29"/>
        <v>0.375</v>
      </c>
      <c r="R121" s="35">
        <f t="shared" si="29"/>
        <v>0.375</v>
      </c>
      <c r="S121" s="35" t="str">
        <f t="shared" si="29"/>
        <v>A</v>
      </c>
      <c r="T121" s="35" t="str">
        <f t="shared" si="29"/>
        <v>A</v>
      </c>
      <c r="U121" s="35" t="str">
        <f t="shared" si="29"/>
        <v>A</v>
      </c>
      <c r="V121" s="35" t="str">
        <f t="shared" si="29"/>
        <v>A</v>
      </c>
      <c r="W121" s="35" t="str">
        <f t="shared" si="29"/>
        <v>A</v>
      </c>
      <c r="X121" s="35" t="str">
        <f t="shared" si="29"/>
        <v>A</v>
      </c>
      <c r="Y121" s="35" t="str">
        <f t="shared" si="29"/>
        <v>A</v>
      </c>
      <c r="Z121" s="35" t="str">
        <f t="shared" si="29"/>
        <v>A</v>
      </c>
      <c r="AA121" s="35" t="str">
        <f t="shared" si="29"/>
        <v>A</v>
      </c>
      <c r="AB121" s="35" t="str">
        <f t="shared" si="29"/>
        <v>A</v>
      </c>
      <c r="AC121" s="35" t="str">
        <f t="shared" si="29"/>
        <v>A</v>
      </c>
      <c r="AD121" s="35" t="str">
        <f t="shared" si="29"/>
        <v>A</v>
      </c>
      <c r="AE121" s="35" t="str">
        <f t="shared" si="29"/>
        <v>A</v>
      </c>
      <c r="AF121" s="25" t="s">
        <v>71</v>
      </c>
      <c r="AG121" s="25" t="s">
        <v>71</v>
      </c>
      <c r="AH121" s="25" t="s">
        <v>71</v>
      </c>
      <c r="AI121" s="25" t="s">
        <v>71</v>
      </c>
      <c r="AJ121" s="25" t="s">
        <v>71</v>
      </c>
      <c r="AK121" s="35" t="str">
        <f t="shared" si="29"/>
        <v>A</v>
      </c>
      <c r="AL121" s="35" t="str">
        <f t="shared" si="29"/>
        <v>A</v>
      </c>
      <c r="AM121" s="35" t="str">
        <f t="shared" si="29"/>
        <v>A</v>
      </c>
      <c r="AN121" s="35" t="str">
        <f t="shared" si="29"/>
        <v>A</v>
      </c>
      <c r="AO121" s="35" t="str">
        <f t="shared" si="29"/>
        <v>A</v>
      </c>
      <c r="AP121" s="36"/>
    </row>
    <row r="122" spans="1:42">
      <c r="A122" s="25"/>
      <c r="B122" s="28"/>
      <c r="C122" s="27"/>
      <c r="D122" s="28"/>
      <c r="E122" s="28"/>
      <c r="F122" s="60"/>
      <c r="G122" s="28" t="s">
        <v>74</v>
      </c>
      <c r="H122" s="28" t="s">
        <v>73</v>
      </c>
      <c r="I122" s="28" t="s">
        <v>77</v>
      </c>
      <c r="J122" s="29" t="s">
        <v>13</v>
      </c>
      <c r="K122" s="25" t="s">
        <v>71</v>
      </c>
      <c r="L122" s="25" t="s">
        <v>71</v>
      </c>
      <c r="M122" s="25" t="s">
        <v>71</v>
      </c>
      <c r="N122" s="25" t="s">
        <v>71</v>
      </c>
      <c r="O122" s="25" t="s">
        <v>34</v>
      </c>
      <c r="P122" s="25" t="s">
        <v>34</v>
      </c>
      <c r="Q122" s="25" t="s">
        <v>34</v>
      </c>
      <c r="R122" s="25" t="s">
        <v>71</v>
      </c>
      <c r="S122" s="25" t="s">
        <v>71</v>
      </c>
      <c r="T122" s="25" t="s">
        <v>71</v>
      </c>
      <c r="U122" s="25" t="s">
        <v>71</v>
      </c>
      <c r="V122" s="25" t="s">
        <v>71</v>
      </c>
      <c r="W122" s="25" t="s">
        <v>71</v>
      </c>
      <c r="X122" s="25" t="s">
        <v>71</v>
      </c>
      <c r="Y122" s="25" t="s">
        <v>71</v>
      </c>
      <c r="Z122" s="25" t="s">
        <v>71</v>
      </c>
      <c r="AA122" s="25" t="s">
        <v>71</v>
      </c>
      <c r="AB122" s="25" t="s">
        <v>71</v>
      </c>
      <c r="AC122" s="25" t="s">
        <v>71</v>
      </c>
      <c r="AD122" s="25" t="s">
        <v>71</v>
      </c>
      <c r="AE122" s="25" t="s">
        <v>71</v>
      </c>
      <c r="AF122" s="25" t="s">
        <v>71</v>
      </c>
      <c r="AG122" s="25" t="s">
        <v>71</v>
      </c>
      <c r="AH122" s="25" t="s">
        <v>71</v>
      </c>
      <c r="AI122" s="25" t="s">
        <v>71</v>
      </c>
      <c r="AJ122" s="25" t="s">
        <v>71</v>
      </c>
      <c r="AK122" s="25" t="s">
        <v>71</v>
      </c>
      <c r="AL122" s="25" t="s">
        <v>71</v>
      </c>
      <c r="AM122" s="25" t="s">
        <v>71</v>
      </c>
      <c r="AN122" s="25" t="s">
        <v>71</v>
      </c>
      <c r="AO122" s="25" t="s">
        <v>71</v>
      </c>
      <c r="AP122" s="19">
        <f>COUNTIF(K122:AO122,"p")</f>
        <v>3</v>
      </c>
    </row>
    <row r="123" spans="1:42">
      <c r="A123" s="25"/>
      <c r="B123" s="28"/>
      <c r="C123" s="27"/>
      <c r="D123" s="28"/>
      <c r="E123" s="28"/>
      <c r="F123" s="60"/>
      <c r="G123" s="28" t="s">
        <v>74</v>
      </c>
      <c r="H123" s="28" t="s">
        <v>73</v>
      </c>
      <c r="I123" s="28" t="s">
        <v>77</v>
      </c>
      <c r="J123" s="29" t="s">
        <v>32</v>
      </c>
      <c r="K123" s="30"/>
      <c r="L123" s="30"/>
      <c r="M123" s="30"/>
      <c r="N123" s="30"/>
      <c r="O123" s="30">
        <v>0.375</v>
      </c>
      <c r="P123" s="30">
        <v>0.375</v>
      </c>
      <c r="Q123" s="30">
        <v>0.375</v>
      </c>
      <c r="R123" s="19"/>
      <c r="S123" s="19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25" t="s">
        <v>71</v>
      </c>
      <c r="AG123" s="25" t="s">
        <v>71</v>
      </c>
      <c r="AH123" s="25" t="s">
        <v>71</v>
      </c>
      <c r="AI123" s="25" t="s">
        <v>71</v>
      </c>
      <c r="AJ123" s="25" t="s">
        <v>71</v>
      </c>
      <c r="AK123" s="30"/>
      <c r="AL123" s="30"/>
      <c r="AM123" s="30"/>
      <c r="AN123" s="19"/>
      <c r="AO123" s="19"/>
      <c r="AP123" s="19"/>
    </row>
    <row r="124" spans="1:42">
      <c r="A124" s="25"/>
      <c r="B124" s="28"/>
      <c r="C124" s="27"/>
      <c r="D124" s="28"/>
      <c r="E124" s="28"/>
      <c r="F124" s="60"/>
      <c r="G124" s="28" t="s">
        <v>74</v>
      </c>
      <c r="H124" s="28" t="s">
        <v>73</v>
      </c>
      <c r="I124" s="28" t="s">
        <v>77</v>
      </c>
      <c r="J124" s="29" t="s">
        <v>33</v>
      </c>
      <c r="K124" s="30"/>
      <c r="L124" s="30"/>
      <c r="M124" s="30"/>
      <c r="N124" s="30"/>
      <c r="O124" s="30">
        <v>0.75138888888888899</v>
      </c>
      <c r="P124" s="30">
        <v>0.75</v>
      </c>
      <c r="Q124" s="30">
        <v>0.75</v>
      </c>
      <c r="R124" s="19"/>
      <c r="S124" s="19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25" t="s">
        <v>71</v>
      </c>
      <c r="AG124" s="25" t="s">
        <v>71</v>
      </c>
      <c r="AH124" s="25" t="s">
        <v>71</v>
      </c>
      <c r="AI124" s="25" t="s">
        <v>71</v>
      </c>
      <c r="AJ124" s="25" t="s">
        <v>71</v>
      </c>
      <c r="AK124" s="30"/>
      <c r="AL124" s="30"/>
      <c r="AM124" s="30"/>
      <c r="AN124" s="19"/>
      <c r="AO124" s="19"/>
      <c r="AP124" s="19"/>
    </row>
    <row r="125" spans="1:42">
      <c r="A125" s="31"/>
      <c r="B125" s="32"/>
      <c r="C125" s="33"/>
      <c r="D125" s="32"/>
      <c r="E125" s="32"/>
      <c r="F125" s="61"/>
      <c r="G125" s="32" t="s">
        <v>74</v>
      </c>
      <c r="H125" s="32" t="s">
        <v>73</v>
      </c>
      <c r="I125" s="32" t="s">
        <v>77</v>
      </c>
      <c r="J125" s="34" t="s">
        <v>72</v>
      </c>
      <c r="K125" s="35" t="str">
        <f t="shared" ref="K125:AO125" si="30">IF(AND(ISBLANK(K123),ISBLANK(K124)),"A",IFERROR(+MOD(K124-K123,1),0))</f>
        <v>A</v>
      </c>
      <c r="L125" s="35" t="str">
        <f t="shared" si="30"/>
        <v>A</v>
      </c>
      <c r="M125" s="35" t="str">
        <f t="shared" si="30"/>
        <v>A</v>
      </c>
      <c r="N125" s="35" t="str">
        <f t="shared" si="30"/>
        <v>A</v>
      </c>
      <c r="O125" s="35">
        <f t="shared" si="30"/>
        <v>0.37638888888888899</v>
      </c>
      <c r="P125" s="35">
        <f t="shared" si="30"/>
        <v>0.375</v>
      </c>
      <c r="Q125" s="35">
        <f t="shared" si="30"/>
        <v>0.375</v>
      </c>
      <c r="R125" s="35" t="str">
        <f t="shared" si="30"/>
        <v>A</v>
      </c>
      <c r="S125" s="35" t="str">
        <f t="shared" si="30"/>
        <v>A</v>
      </c>
      <c r="T125" s="35" t="str">
        <f t="shared" si="30"/>
        <v>A</v>
      </c>
      <c r="U125" s="35" t="str">
        <f t="shared" si="30"/>
        <v>A</v>
      </c>
      <c r="V125" s="35" t="str">
        <f t="shared" si="30"/>
        <v>A</v>
      </c>
      <c r="W125" s="35" t="str">
        <f t="shared" si="30"/>
        <v>A</v>
      </c>
      <c r="X125" s="35" t="str">
        <f t="shared" si="30"/>
        <v>A</v>
      </c>
      <c r="Y125" s="35" t="str">
        <f t="shared" si="30"/>
        <v>A</v>
      </c>
      <c r="Z125" s="35" t="str">
        <f t="shared" si="30"/>
        <v>A</v>
      </c>
      <c r="AA125" s="35" t="str">
        <f t="shared" si="30"/>
        <v>A</v>
      </c>
      <c r="AB125" s="35" t="str">
        <f t="shared" si="30"/>
        <v>A</v>
      </c>
      <c r="AC125" s="35" t="str">
        <f t="shared" si="30"/>
        <v>A</v>
      </c>
      <c r="AD125" s="35" t="str">
        <f t="shared" si="30"/>
        <v>A</v>
      </c>
      <c r="AE125" s="35" t="str">
        <f t="shared" si="30"/>
        <v>A</v>
      </c>
      <c r="AF125" s="25" t="s">
        <v>71</v>
      </c>
      <c r="AG125" s="25" t="s">
        <v>71</v>
      </c>
      <c r="AH125" s="25" t="s">
        <v>71</v>
      </c>
      <c r="AI125" s="25" t="s">
        <v>71</v>
      </c>
      <c r="AJ125" s="25" t="s">
        <v>71</v>
      </c>
      <c r="AK125" s="35" t="str">
        <f t="shared" si="30"/>
        <v>A</v>
      </c>
      <c r="AL125" s="35" t="str">
        <f t="shared" si="30"/>
        <v>A</v>
      </c>
      <c r="AM125" s="35" t="str">
        <f t="shared" si="30"/>
        <v>A</v>
      </c>
      <c r="AN125" s="35" t="str">
        <f t="shared" si="30"/>
        <v>A</v>
      </c>
      <c r="AO125" s="35" t="str">
        <f t="shared" si="30"/>
        <v>A</v>
      </c>
      <c r="AP125" s="36"/>
    </row>
    <row r="126" spans="1:42">
      <c r="A126" s="25"/>
      <c r="B126" s="26"/>
      <c r="C126" s="39"/>
      <c r="D126" s="28"/>
      <c r="E126" s="28"/>
      <c r="F126" s="28"/>
      <c r="G126" s="28" t="s">
        <v>74</v>
      </c>
      <c r="H126" s="51" t="s">
        <v>76</v>
      </c>
      <c r="I126" s="28" t="s">
        <v>25</v>
      </c>
      <c r="J126" s="29" t="s">
        <v>13</v>
      </c>
      <c r="K126" s="25" t="s">
        <v>71</v>
      </c>
      <c r="L126" s="25" t="s">
        <v>34</v>
      </c>
      <c r="M126" s="25" t="s">
        <v>75</v>
      </c>
      <c r="N126" s="25" t="s">
        <v>34</v>
      </c>
      <c r="O126" s="25" t="s">
        <v>34</v>
      </c>
      <c r="P126" s="25" t="s">
        <v>34</v>
      </c>
      <c r="Q126" s="25" t="s">
        <v>34</v>
      </c>
      <c r="R126" s="25" t="s">
        <v>34</v>
      </c>
      <c r="S126" s="25" t="s">
        <v>47</v>
      </c>
      <c r="T126" s="25" t="s">
        <v>34</v>
      </c>
      <c r="U126" s="25" t="s">
        <v>34</v>
      </c>
      <c r="V126" s="25" t="s">
        <v>34</v>
      </c>
      <c r="W126" s="25" t="s">
        <v>34</v>
      </c>
      <c r="X126" s="25" t="s">
        <v>34</v>
      </c>
      <c r="Y126" s="25" t="s">
        <v>47</v>
      </c>
      <c r="Z126" s="25" t="s">
        <v>34</v>
      </c>
      <c r="AA126" s="25" t="s">
        <v>34</v>
      </c>
      <c r="AB126" s="25" t="s">
        <v>71</v>
      </c>
      <c r="AC126" s="25" t="s">
        <v>34</v>
      </c>
      <c r="AD126" s="25" t="s">
        <v>34</v>
      </c>
      <c r="AE126" s="25" t="s">
        <v>34</v>
      </c>
      <c r="AF126" s="25" t="s">
        <v>34</v>
      </c>
      <c r="AG126" s="25" t="s">
        <v>34</v>
      </c>
      <c r="AH126" s="25" t="s">
        <v>34</v>
      </c>
      <c r="AI126" s="25" t="s">
        <v>34</v>
      </c>
      <c r="AJ126" s="25" t="s">
        <v>34</v>
      </c>
      <c r="AK126" s="25"/>
      <c r="AL126" s="25"/>
      <c r="AM126" s="25"/>
      <c r="AN126" s="25"/>
      <c r="AO126" s="25"/>
      <c r="AP126" s="19">
        <f>COUNTIF(K126:AO126,"p")</f>
        <v>21</v>
      </c>
    </row>
    <row r="127" spans="1:42">
      <c r="A127" s="25"/>
      <c r="B127" s="26"/>
      <c r="C127" s="39"/>
      <c r="D127" s="28"/>
      <c r="E127" s="28"/>
      <c r="F127" s="28"/>
      <c r="G127" s="28" t="s">
        <v>74</v>
      </c>
      <c r="H127" s="51" t="s">
        <v>76</v>
      </c>
      <c r="I127" s="28" t="s">
        <v>25</v>
      </c>
      <c r="J127" s="29" t="s">
        <v>32</v>
      </c>
      <c r="K127" s="19"/>
      <c r="L127" s="30">
        <v>0.375</v>
      </c>
      <c r="M127" s="19"/>
      <c r="N127" s="30">
        <v>0.375</v>
      </c>
      <c r="O127" s="30">
        <v>0.375</v>
      </c>
      <c r="P127" s="30">
        <v>0.375</v>
      </c>
      <c r="Q127" s="30">
        <v>0.375</v>
      </c>
      <c r="R127" s="30">
        <v>0.375</v>
      </c>
      <c r="S127" s="19"/>
      <c r="T127" s="30">
        <v>0.375</v>
      </c>
      <c r="U127" s="30">
        <v>0.375</v>
      </c>
      <c r="V127" s="30">
        <v>0.375</v>
      </c>
      <c r="W127" s="30">
        <v>0.375</v>
      </c>
      <c r="X127" s="30">
        <v>0.3923611111111111</v>
      </c>
      <c r="Y127" s="30"/>
      <c r="Z127" s="30">
        <v>0.375</v>
      </c>
      <c r="AA127" s="30">
        <v>0.375</v>
      </c>
      <c r="AB127" s="30"/>
      <c r="AC127" s="30">
        <v>0.375</v>
      </c>
      <c r="AD127" s="30">
        <v>0.375</v>
      </c>
      <c r="AE127" s="30">
        <v>0.375</v>
      </c>
      <c r="AF127" s="30">
        <v>0.375</v>
      </c>
      <c r="AG127" s="30">
        <v>0.375</v>
      </c>
      <c r="AH127" s="30">
        <v>0.375</v>
      </c>
      <c r="AI127" s="30">
        <v>0.375</v>
      </c>
      <c r="AJ127" s="30">
        <v>0.375</v>
      </c>
      <c r="AK127" s="30"/>
      <c r="AL127" s="30"/>
      <c r="AM127" s="30"/>
      <c r="AN127" s="19"/>
      <c r="AO127" s="19"/>
      <c r="AP127" s="19"/>
    </row>
    <row r="128" spans="1:42">
      <c r="A128" s="25"/>
      <c r="B128" s="26"/>
      <c r="C128" s="39"/>
      <c r="D128" s="28"/>
      <c r="E128" s="28"/>
      <c r="F128" s="28"/>
      <c r="G128" s="28" t="s">
        <v>74</v>
      </c>
      <c r="H128" s="51" t="s">
        <v>76</v>
      </c>
      <c r="I128" s="28" t="s">
        <v>25</v>
      </c>
      <c r="J128" s="29" t="s">
        <v>33</v>
      </c>
      <c r="K128" s="19"/>
      <c r="L128" s="30">
        <v>0.75</v>
      </c>
      <c r="M128" s="19"/>
      <c r="N128" s="30">
        <v>0.75694444444444453</v>
      </c>
      <c r="O128" s="30">
        <v>0.75</v>
      </c>
      <c r="P128" s="30">
        <v>0.75</v>
      </c>
      <c r="Q128" s="30">
        <v>0.72569444444444453</v>
      </c>
      <c r="R128" s="30">
        <v>0.75</v>
      </c>
      <c r="S128" s="19"/>
      <c r="T128" s="30">
        <v>0.75</v>
      </c>
      <c r="U128" s="30">
        <v>0.76041666666666663</v>
      </c>
      <c r="V128" s="30">
        <v>0.75</v>
      </c>
      <c r="W128" s="30">
        <v>0.76041666666666663</v>
      </c>
      <c r="X128" s="30">
        <v>0.75</v>
      </c>
      <c r="Y128" s="30"/>
      <c r="Z128" s="30">
        <v>0.75</v>
      </c>
      <c r="AA128" s="30">
        <v>0.75</v>
      </c>
      <c r="AB128" s="30"/>
      <c r="AC128" s="30">
        <v>0.75</v>
      </c>
      <c r="AD128" s="30">
        <v>0.75</v>
      </c>
      <c r="AE128" s="30">
        <v>0.75</v>
      </c>
      <c r="AF128" s="30">
        <v>0.75</v>
      </c>
      <c r="AG128" s="30">
        <v>0.75</v>
      </c>
      <c r="AH128" s="30">
        <v>0.75</v>
      </c>
      <c r="AI128" s="30">
        <v>0.75</v>
      </c>
      <c r="AJ128" s="30"/>
      <c r="AK128" s="30"/>
      <c r="AL128" s="30"/>
      <c r="AM128" s="30"/>
      <c r="AN128" s="19"/>
      <c r="AO128" s="19"/>
      <c r="AP128" s="19"/>
    </row>
    <row r="129" spans="1:42">
      <c r="A129" s="45"/>
      <c r="B129" s="32"/>
      <c r="C129" s="47"/>
      <c r="D129" s="47"/>
      <c r="E129" s="32"/>
      <c r="F129" s="32"/>
      <c r="G129" s="32" t="s">
        <v>74</v>
      </c>
      <c r="H129" s="53" t="s">
        <v>76</v>
      </c>
      <c r="I129" s="32" t="s">
        <v>25</v>
      </c>
      <c r="J129" s="34" t="s">
        <v>72</v>
      </c>
      <c r="K129" s="35" t="str">
        <f t="shared" ref="K129:AO129" si="31">IF(AND(ISBLANK(K127),ISBLANK(K128)),"A",IFERROR(+MOD(K128-K127,1),0))</f>
        <v>A</v>
      </c>
      <c r="L129" s="35">
        <f t="shared" si="31"/>
        <v>0.375</v>
      </c>
      <c r="M129" s="35" t="str">
        <f t="shared" si="31"/>
        <v>A</v>
      </c>
      <c r="N129" s="35">
        <f t="shared" si="31"/>
        <v>0.38194444444444453</v>
      </c>
      <c r="O129" s="35">
        <f t="shared" si="31"/>
        <v>0.375</v>
      </c>
      <c r="P129" s="35">
        <f t="shared" si="31"/>
        <v>0.375</v>
      </c>
      <c r="Q129" s="35">
        <f t="shared" si="31"/>
        <v>0.35069444444444453</v>
      </c>
      <c r="R129" s="35">
        <f t="shared" si="31"/>
        <v>0.375</v>
      </c>
      <c r="S129" s="35" t="str">
        <f t="shared" si="31"/>
        <v>A</v>
      </c>
      <c r="T129" s="35">
        <f t="shared" si="31"/>
        <v>0.375</v>
      </c>
      <c r="U129" s="35">
        <f t="shared" si="31"/>
        <v>0.38541666666666663</v>
      </c>
      <c r="V129" s="35">
        <f t="shared" si="31"/>
        <v>0.375</v>
      </c>
      <c r="W129" s="35">
        <f t="shared" si="31"/>
        <v>0.38541666666666663</v>
      </c>
      <c r="X129" s="35">
        <f t="shared" si="31"/>
        <v>0.3576388888888889</v>
      </c>
      <c r="Y129" s="35" t="str">
        <f t="shared" si="31"/>
        <v>A</v>
      </c>
      <c r="Z129" s="35">
        <f t="shared" si="31"/>
        <v>0.375</v>
      </c>
      <c r="AA129" s="35">
        <f t="shared" si="31"/>
        <v>0.375</v>
      </c>
      <c r="AB129" s="35" t="str">
        <f t="shared" si="31"/>
        <v>A</v>
      </c>
      <c r="AC129" s="35">
        <f t="shared" si="31"/>
        <v>0.375</v>
      </c>
      <c r="AD129" s="35">
        <f t="shared" si="31"/>
        <v>0.375</v>
      </c>
      <c r="AE129" s="35">
        <f t="shared" si="31"/>
        <v>0.375</v>
      </c>
      <c r="AF129" s="35">
        <f t="shared" si="31"/>
        <v>0.375</v>
      </c>
      <c r="AG129" s="35">
        <f t="shared" si="31"/>
        <v>0.375</v>
      </c>
      <c r="AH129" s="35">
        <f t="shared" si="31"/>
        <v>0.375</v>
      </c>
      <c r="AI129" s="35">
        <f t="shared" si="31"/>
        <v>0.375</v>
      </c>
      <c r="AJ129" s="35">
        <f t="shared" si="31"/>
        <v>0.625</v>
      </c>
      <c r="AK129" s="35" t="str">
        <f t="shared" si="31"/>
        <v>A</v>
      </c>
      <c r="AL129" s="35" t="str">
        <f t="shared" si="31"/>
        <v>A</v>
      </c>
      <c r="AM129" s="35" t="str">
        <f t="shared" si="31"/>
        <v>A</v>
      </c>
      <c r="AN129" s="35" t="str">
        <f t="shared" si="31"/>
        <v>A</v>
      </c>
      <c r="AO129" s="35" t="str">
        <f t="shared" si="31"/>
        <v>A</v>
      </c>
      <c r="AP129" s="36"/>
    </row>
    <row r="130" spans="1:42">
      <c r="A130" s="25"/>
      <c r="B130" s="26"/>
      <c r="C130" s="62"/>
      <c r="D130" s="28"/>
      <c r="E130" s="28"/>
      <c r="F130" s="28"/>
      <c r="G130" s="28" t="s">
        <v>69</v>
      </c>
      <c r="H130" s="51" t="s">
        <v>76</v>
      </c>
      <c r="I130" s="28" t="s">
        <v>25</v>
      </c>
      <c r="J130" s="29" t="s">
        <v>13</v>
      </c>
      <c r="K130" s="25" t="s">
        <v>34</v>
      </c>
      <c r="L130" s="25" t="s">
        <v>71</v>
      </c>
      <c r="M130" s="25" t="s">
        <v>34</v>
      </c>
      <c r="N130" s="25" t="s">
        <v>34</v>
      </c>
      <c r="O130" s="25" t="s">
        <v>34</v>
      </c>
      <c r="P130" s="25" t="s">
        <v>34</v>
      </c>
      <c r="Q130" s="25" t="s">
        <v>34</v>
      </c>
      <c r="R130" s="25" t="s">
        <v>34</v>
      </c>
      <c r="S130" s="25" t="s">
        <v>34</v>
      </c>
      <c r="T130" s="25" t="s">
        <v>34</v>
      </c>
      <c r="U130" s="25" t="s">
        <v>34</v>
      </c>
      <c r="V130" s="25" t="s">
        <v>34</v>
      </c>
      <c r="W130" s="25" t="s">
        <v>34</v>
      </c>
      <c r="X130" s="25" t="s">
        <v>34</v>
      </c>
      <c r="Y130" s="25" t="s">
        <v>47</v>
      </c>
      <c r="Z130" s="25" t="s">
        <v>34</v>
      </c>
      <c r="AA130" s="25" t="s">
        <v>34</v>
      </c>
      <c r="AB130" s="25" t="s">
        <v>75</v>
      </c>
      <c r="AC130" s="25" t="s">
        <v>34</v>
      </c>
      <c r="AD130" s="25" t="s">
        <v>34</v>
      </c>
      <c r="AE130" s="25" t="s">
        <v>34</v>
      </c>
      <c r="AF130" s="25" t="s">
        <v>34</v>
      </c>
      <c r="AG130" s="25" t="s">
        <v>34</v>
      </c>
      <c r="AH130" s="25" t="s">
        <v>34</v>
      </c>
      <c r="AI130" s="25" t="s">
        <v>71</v>
      </c>
      <c r="AJ130" s="25" t="s">
        <v>34</v>
      </c>
      <c r="AK130" s="25"/>
      <c r="AL130" s="25"/>
      <c r="AM130" s="25"/>
      <c r="AN130" s="25"/>
      <c r="AO130" s="25"/>
      <c r="AP130" s="19">
        <f>COUNTIF(K130:AO130,"p")</f>
        <v>22</v>
      </c>
    </row>
    <row r="131" spans="1:42">
      <c r="A131" s="25"/>
      <c r="B131" s="26"/>
      <c r="C131" s="62"/>
      <c r="D131" s="28"/>
      <c r="E131" s="28"/>
      <c r="F131" s="28"/>
      <c r="G131" s="28" t="s">
        <v>69</v>
      </c>
      <c r="H131" s="51" t="s">
        <v>76</v>
      </c>
      <c r="I131" s="28" t="s">
        <v>25</v>
      </c>
      <c r="J131" s="29" t="s">
        <v>32</v>
      </c>
      <c r="K131" s="30">
        <v>0.375</v>
      </c>
      <c r="L131" s="19"/>
      <c r="M131" s="30">
        <v>0.375</v>
      </c>
      <c r="N131" s="30">
        <v>0.375</v>
      </c>
      <c r="O131" s="30">
        <v>0.375</v>
      </c>
      <c r="P131" s="30">
        <v>0.375</v>
      </c>
      <c r="Q131" s="30">
        <v>0.37152777777777773</v>
      </c>
      <c r="R131" s="30">
        <v>0.375</v>
      </c>
      <c r="S131" s="30">
        <v>0.3888888888888889</v>
      </c>
      <c r="T131" s="30">
        <v>0.375</v>
      </c>
      <c r="U131" s="30">
        <v>0.375</v>
      </c>
      <c r="V131" s="30">
        <v>0.375</v>
      </c>
      <c r="W131" s="30">
        <v>0.375</v>
      </c>
      <c r="X131" s="30">
        <v>0.38194444444444442</v>
      </c>
      <c r="Y131" s="30"/>
      <c r="Z131" s="30">
        <v>0.375</v>
      </c>
      <c r="AA131" s="30">
        <v>0.375</v>
      </c>
      <c r="AB131" s="30"/>
      <c r="AC131" s="30">
        <v>0.375</v>
      </c>
      <c r="AD131" s="30">
        <v>0.375</v>
      </c>
      <c r="AE131" s="30">
        <v>0.375</v>
      </c>
      <c r="AF131" s="30">
        <v>0.375</v>
      </c>
      <c r="AG131" s="30">
        <v>0.375</v>
      </c>
      <c r="AH131" s="30">
        <v>0.375</v>
      </c>
      <c r="AI131" s="30" t="s">
        <v>71</v>
      </c>
      <c r="AJ131" s="30">
        <v>0.375</v>
      </c>
      <c r="AK131" s="30"/>
      <c r="AL131" s="30"/>
      <c r="AM131" s="30"/>
      <c r="AN131" s="30"/>
      <c r="AO131" s="30"/>
      <c r="AP131" s="19"/>
    </row>
    <row r="132" spans="1:42">
      <c r="A132" s="25"/>
      <c r="B132" s="26"/>
      <c r="C132" s="62"/>
      <c r="D132" s="28"/>
      <c r="E132" s="28"/>
      <c r="F132" s="28"/>
      <c r="G132" s="28" t="s">
        <v>69</v>
      </c>
      <c r="H132" s="51" t="s">
        <v>76</v>
      </c>
      <c r="I132" s="28" t="s">
        <v>25</v>
      </c>
      <c r="J132" s="29" t="s">
        <v>33</v>
      </c>
      <c r="K132" s="30">
        <v>0.83333333333333337</v>
      </c>
      <c r="L132" s="19"/>
      <c r="M132" s="30">
        <v>0.75</v>
      </c>
      <c r="N132" s="30">
        <v>0.83333333333333337</v>
      </c>
      <c r="O132" s="30">
        <v>0.76388888888888884</v>
      </c>
      <c r="P132" s="30">
        <v>0.79166666666666663</v>
      </c>
      <c r="Q132" s="30">
        <v>0.75</v>
      </c>
      <c r="R132" s="30">
        <v>0.75138888888888899</v>
      </c>
      <c r="S132" s="30">
        <v>0.75</v>
      </c>
      <c r="T132" s="30">
        <v>0.75</v>
      </c>
      <c r="U132" s="30">
        <v>0.83333333333333337</v>
      </c>
      <c r="V132" s="30">
        <v>0.76041666666666663</v>
      </c>
      <c r="W132" s="30">
        <v>0.83333333333333337</v>
      </c>
      <c r="X132" s="30">
        <v>0.75</v>
      </c>
      <c r="Y132" s="30"/>
      <c r="Z132" s="30">
        <v>0.79166666666666663</v>
      </c>
      <c r="AA132" s="30">
        <v>0.75</v>
      </c>
      <c r="AB132" s="30"/>
      <c r="AC132" s="30">
        <v>0.85416666666666663</v>
      </c>
      <c r="AD132" s="30">
        <v>0.83333333333333337</v>
      </c>
      <c r="AE132" s="30">
        <v>0.83333333333333337</v>
      </c>
      <c r="AF132" s="30">
        <v>0.83333333333333337</v>
      </c>
      <c r="AG132" s="30">
        <v>0.83333333333333337</v>
      </c>
      <c r="AH132" s="30">
        <v>0.79166666666666663</v>
      </c>
      <c r="AI132" s="30" t="s">
        <v>71</v>
      </c>
      <c r="AJ132" s="30"/>
      <c r="AK132" s="30"/>
      <c r="AL132" s="30"/>
      <c r="AM132" s="30"/>
      <c r="AN132" s="30"/>
      <c r="AO132" s="30"/>
      <c r="AP132" s="19"/>
    </row>
    <row r="133" spans="1:42">
      <c r="A133" s="45"/>
      <c r="B133" s="32"/>
      <c r="C133" s="47"/>
      <c r="D133" s="32"/>
      <c r="E133" s="32"/>
      <c r="F133" s="32"/>
      <c r="G133" s="32" t="s">
        <v>69</v>
      </c>
      <c r="H133" s="53" t="s">
        <v>76</v>
      </c>
      <c r="I133" s="32" t="s">
        <v>25</v>
      </c>
      <c r="J133" s="34" t="s">
        <v>72</v>
      </c>
      <c r="K133" s="35">
        <f t="shared" ref="K133:AO133" si="32">IF(AND(ISBLANK(K131),ISBLANK(K132)),"A",IFERROR(+MOD(K132-K131,1),0))</f>
        <v>0.45833333333333337</v>
      </c>
      <c r="L133" s="35" t="str">
        <f t="shared" si="32"/>
        <v>A</v>
      </c>
      <c r="M133" s="35">
        <f t="shared" si="32"/>
        <v>0.375</v>
      </c>
      <c r="N133" s="35">
        <f t="shared" si="32"/>
        <v>0.45833333333333337</v>
      </c>
      <c r="O133" s="35">
        <f t="shared" si="32"/>
        <v>0.38888888888888884</v>
      </c>
      <c r="P133" s="35">
        <f t="shared" si="32"/>
        <v>0.41666666666666663</v>
      </c>
      <c r="Q133" s="35">
        <f t="shared" si="32"/>
        <v>0.37847222222222227</v>
      </c>
      <c r="R133" s="35">
        <f t="shared" si="32"/>
        <v>0.37638888888888899</v>
      </c>
      <c r="S133" s="35">
        <f t="shared" si="32"/>
        <v>0.3611111111111111</v>
      </c>
      <c r="T133" s="35">
        <f t="shared" si="32"/>
        <v>0.375</v>
      </c>
      <c r="U133" s="35">
        <f t="shared" si="32"/>
        <v>0.45833333333333337</v>
      </c>
      <c r="V133" s="35">
        <f t="shared" si="32"/>
        <v>0.38541666666666663</v>
      </c>
      <c r="W133" s="35">
        <f t="shared" si="32"/>
        <v>0.45833333333333337</v>
      </c>
      <c r="X133" s="35">
        <f t="shared" si="32"/>
        <v>0.36805555555555558</v>
      </c>
      <c r="Y133" s="35" t="str">
        <f t="shared" si="32"/>
        <v>A</v>
      </c>
      <c r="Z133" s="35">
        <f t="shared" si="32"/>
        <v>0.41666666666666663</v>
      </c>
      <c r="AA133" s="35">
        <f t="shared" si="32"/>
        <v>0.375</v>
      </c>
      <c r="AB133" s="35" t="str">
        <f t="shared" si="32"/>
        <v>A</v>
      </c>
      <c r="AC133" s="35">
        <f t="shared" si="32"/>
        <v>0.47916666666666663</v>
      </c>
      <c r="AD133" s="35">
        <f t="shared" si="32"/>
        <v>0.45833333333333337</v>
      </c>
      <c r="AE133" s="35">
        <f t="shared" si="32"/>
        <v>0.45833333333333337</v>
      </c>
      <c r="AF133" s="35">
        <f t="shared" si="32"/>
        <v>0.45833333333333337</v>
      </c>
      <c r="AG133" s="35">
        <f t="shared" si="32"/>
        <v>0.45833333333333337</v>
      </c>
      <c r="AH133" s="35">
        <f t="shared" si="32"/>
        <v>0.41666666666666663</v>
      </c>
      <c r="AI133" s="35" t="s">
        <v>71</v>
      </c>
      <c r="AJ133" s="35">
        <f t="shared" si="32"/>
        <v>0.625</v>
      </c>
      <c r="AK133" s="35" t="str">
        <f t="shared" si="32"/>
        <v>A</v>
      </c>
      <c r="AL133" s="35" t="str">
        <f t="shared" si="32"/>
        <v>A</v>
      </c>
      <c r="AM133" s="35" t="str">
        <f t="shared" si="32"/>
        <v>A</v>
      </c>
      <c r="AN133" s="35" t="str">
        <f t="shared" si="32"/>
        <v>A</v>
      </c>
      <c r="AO133" s="35" t="str">
        <f t="shared" si="32"/>
        <v>A</v>
      </c>
      <c r="AP133" s="36"/>
    </row>
    <row r="134" spans="1:42">
      <c r="A134" s="25"/>
      <c r="B134" s="26"/>
      <c r="C134" s="62"/>
      <c r="D134" s="28"/>
      <c r="E134" s="28"/>
      <c r="F134" s="28"/>
      <c r="G134" s="28" t="s">
        <v>74</v>
      </c>
      <c r="H134" s="51" t="s">
        <v>76</v>
      </c>
      <c r="I134" s="28" t="s">
        <v>77</v>
      </c>
      <c r="J134" s="29" t="s">
        <v>13</v>
      </c>
      <c r="K134" s="25" t="s">
        <v>71</v>
      </c>
      <c r="L134" s="25" t="s">
        <v>71</v>
      </c>
      <c r="M134" s="25" t="s">
        <v>71</v>
      </c>
      <c r="N134" s="25" t="s">
        <v>71</v>
      </c>
      <c r="O134" s="25" t="s">
        <v>34</v>
      </c>
      <c r="P134" s="25" t="s">
        <v>71</v>
      </c>
      <c r="Q134" s="25" t="s">
        <v>71</v>
      </c>
      <c r="R134" s="25" t="s">
        <v>71</v>
      </c>
      <c r="S134" s="25" t="s">
        <v>71</v>
      </c>
      <c r="T134" s="25" t="s">
        <v>71</v>
      </c>
      <c r="U134" s="25" t="s">
        <v>71</v>
      </c>
      <c r="V134" s="25" t="s">
        <v>71</v>
      </c>
      <c r="W134" s="25" t="s">
        <v>71</v>
      </c>
      <c r="X134" s="25" t="s">
        <v>71</v>
      </c>
      <c r="Y134" s="25" t="s">
        <v>71</v>
      </c>
      <c r="Z134" s="25" t="s">
        <v>71</v>
      </c>
      <c r="AA134" s="25" t="s">
        <v>71</v>
      </c>
      <c r="AB134" s="25" t="s">
        <v>71</v>
      </c>
      <c r="AC134" s="25" t="s">
        <v>71</v>
      </c>
      <c r="AD134" s="25" t="s">
        <v>71</v>
      </c>
      <c r="AE134" s="25" t="s">
        <v>71</v>
      </c>
      <c r="AF134" s="25" t="s">
        <v>71</v>
      </c>
      <c r="AG134" s="25" t="s">
        <v>71</v>
      </c>
      <c r="AH134" s="25" t="s">
        <v>71</v>
      </c>
      <c r="AI134" s="25" t="s">
        <v>71</v>
      </c>
      <c r="AJ134" s="25" t="s">
        <v>71</v>
      </c>
      <c r="AK134" s="25" t="s">
        <v>71</v>
      </c>
      <c r="AL134" s="25" t="s">
        <v>71</v>
      </c>
      <c r="AM134" s="25" t="s">
        <v>71</v>
      </c>
      <c r="AN134" s="25" t="s">
        <v>71</v>
      </c>
      <c r="AO134" s="25" t="s">
        <v>71</v>
      </c>
      <c r="AP134" s="19">
        <f>COUNTIF(K134:AO134,"p")</f>
        <v>1</v>
      </c>
    </row>
    <row r="135" spans="1:42">
      <c r="A135" s="25"/>
      <c r="B135" s="26"/>
      <c r="C135" s="62"/>
      <c r="D135" s="28"/>
      <c r="E135" s="28"/>
      <c r="F135" s="28"/>
      <c r="G135" s="28" t="s">
        <v>74</v>
      </c>
      <c r="H135" s="51" t="s">
        <v>76</v>
      </c>
      <c r="I135" s="28" t="s">
        <v>77</v>
      </c>
      <c r="J135" s="29" t="s">
        <v>32</v>
      </c>
      <c r="K135" s="19"/>
      <c r="L135" s="19"/>
      <c r="M135" s="19"/>
      <c r="N135" s="19"/>
      <c r="O135" s="30">
        <v>0.375</v>
      </c>
      <c r="P135" s="19"/>
      <c r="Q135" s="19"/>
      <c r="R135" s="19"/>
      <c r="S135" s="19"/>
      <c r="T135" s="19"/>
      <c r="U135" s="30"/>
      <c r="V135" s="30"/>
      <c r="W135" s="19"/>
      <c r="X135" s="30"/>
      <c r="Y135" s="30"/>
      <c r="Z135" s="30"/>
      <c r="AA135" s="30"/>
      <c r="AB135" s="30"/>
      <c r="AC135" s="30"/>
      <c r="AD135" s="30"/>
      <c r="AE135" s="30"/>
      <c r="AF135" s="25" t="s">
        <v>71</v>
      </c>
      <c r="AG135" s="25" t="s">
        <v>71</v>
      </c>
      <c r="AH135" s="25" t="s">
        <v>71</v>
      </c>
      <c r="AI135" s="25" t="s">
        <v>71</v>
      </c>
      <c r="AJ135" s="25" t="s">
        <v>71</v>
      </c>
      <c r="AK135" s="19"/>
      <c r="AL135" s="30"/>
      <c r="AM135" s="30"/>
      <c r="AN135" s="19"/>
      <c r="AO135" s="19"/>
      <c r="AP135" s="19"/>
    </row>
    <row r="136" spans="1:42">
      <c r="A136" s="25"/>
      <c r="B136" s="26"/>
      <c r="C136" s="62"/>
      <c r="D136" s="28"/>
      <c r="E136" s="28"/>
      <c r="F136" s="28"/>
      <c r="G136" s="28" t="s">
        <v>74</v>
      </c>
      <c r="H136" s="51" t="s">
        <v>76</v>
      </c>
      <c r="I136" s="28" t="s">
        <v>77</v>
      </c>
      <c r="J136" s="29" t="s">
        <v>33</v>
      </c>
      <c r="K136" s="19"/>
      <c r="L136" s="19"/>
      <c r="M136" s="19"/>
      <c r="N136" s="19"/>
      <c r="O136" s="30">
        <v>0.75</v>
      </c>
      <c r="P136" s="19"/>
      <c r="Q136" s="19"/>
      <c r="R136" s="19"/>
      <c r="S136" s="19"/>
      <c r="T136" s="19"/>
      <c r="U136" s="30"/>
      <c r="V136" s="30"/>
      <c r="W136" s="19"/>
      <c r="X136" s="30"/>
      <c r="Y136" s="30"/>
      <c r="Z136" s="30"/>
      <c r="AA136" s="30"/>
      <c r="AB136" s="30"/>
      <c r="AC136" s="30"/>
      <c r="AD136" s="30"/>
      <c r="AE136" s="30"/>
      <c r="AF136" s="25" t="s">
        <v>71</v>
      </c>
      <c r="AG136" s="25" t="s">
        <v>71</v>
      </c>
      <c r="AH136" s="25" t="s">
        <v>71</v>
      </c>
      <c r="AI136" s="25" t="s">
        <v>71</v>
      </c>
      <c r="AJ136" s="25" t="s">
        <v>71</v>
      </c>
      <c r="AK136" s="19"/>
      <c r="AL136" s="30"/>
      <c r="AM136" s="30"/>
      <c r="AN136" s="19"/>
      <c r="AO136" s="19"/>
      <c r="AP136" s="19"/>
    </row>
    <row r="137" spans="1:42">
      <c r="A137" s="31"/>
      <c r="B137" s="32"/>
      <c r="C137" s="47"/>
      <c r="D137" s="32"/>
      <c r="E137" s="32"/>
      <c r="F137" s="32"/>
      <c r="G137" s="32" t="s">
        <v>74</v>
      </c>
      <c r="H137" s="53" t="s">
        <v>76</v>
      </c>
      <c r="I137" s="32" t="s">
        <v>77</v>
      </c>
      <c r="J137" s="34" t="s">
        <v>72</v>
      </c>
      <c r="K137" s="35" t="str">
        <f t="shared" ref="K137:AO137" si="33">IF(AND(ISBLANK(K135),ISBLANK(K136)),"A",IFERROR(+MOD(K136-K135,1),0))</f>
        <v>A</v>
      </c>
      <c r="L137" s="35" t="str">
        <f t="shared" si="33"/>
        <v>A</v>
      </c>
      <c r="M137" s="35" t="str">
        <f t="shared" si="33"/>
        <v>A</v>
      </c>
      <c r="N137" s="35" t="str">
        <f t="shared" si="33"/>
        <v>A</v>
      </c>
      <c r="O137" s="35">
        <f t="shared" si="33"/>
        <v>0.375</v>
      </c>
      <c r="P137" s="35" t="str">
        <f t="shared" si="33"/>
        <v>A</v>
      </c>
      <c r="Q137" s="35" t="str">
        <f t="shared" si="33"/>
        <v>A</v>
      </c>
      <c r="R137" s="35" t="str">
        <f t="shared" si="33"/>
        <v>A</v>
      </c>
      <c r="S137" s="35" t="str">
        <f t="shared" si="33"/>
        <v>A</v>
      </c>
      <c r="T137" s="35" t="str">
        <f t="shared" si="33"/>
        <v>A</v>
      </c>
      <c r="U137" s="35" t="str">
        <f t="shared" si="33"/>
        <v>A</v>
      </c>
      <c r="V137" s="35" t="str">
        <f t="shared" si="33"/>
        <v>A</v>
      </c>
      <c r="W137" s="35" t="str">
        <f t="shared" si="33"/>
        <v>A</v>
      </c>
      <c r="X137" s="35" t="str">
        <f t="shared" si="33"/>
        <v>A</v>
      </c>
      <c r="Y137" s="35" t="str">
        <f t="shared" si="33"/>
        <v>A</v>
      </c>
      <c r="Z137" s="35" t="str">
        <f t="shared" si="33"/>
        <v>A</v>
      </c>
      <c r="AA137" s="35" t="str">
        <f t="shared" si="33"/>
        <v>A</v>
      </c>
      <c r="AB137" s="35" t="str">
        <f t="shared" si="33"/>
        <v>A</v>
      </c>
      <c r="AC137" s="35" t="str">
        <f t="shared" si="33"/>
        <v>A</v>
      </c>
      <c r="AD137" s="35" t="str">
        <f t="shared" si="33"/>
        <v>A</v>
      </c>
      <c r="AE137" s="35" t="str">
        <f t="shared" si="33"/>
        <v>A</v>
      </c>
      <c r="AF137" s="25" t="s">
        <v>71</v>
      </c>
      <c r="AG137" s="25" t="s">
        <v>71</v>
      </c>
      <c r="AH137" s="25" t="s">
        <v>71</v>
      </c>
      <c r="AI137" s="25" t="s">
        <v>71</v>
      </c>
      <c r="AJ137" s="25" t="s">
        <v>71</v>
      </c>
      <c r="AK137" s="35" t="str">
        <f t="shared" si="33"/>
        <v>A</v>
      </c>
      <c r="AL137" s="35" t="str">
        <f t="shared" si="33"/>
        <v>A</v>
      </c>
      <c r="AM137" s="35" t="str">
        <f t="shared" si="33"/>
        <v>A</v>
      </c>
      <c r="AN137" s="35" t="str">
        <f t="shared" si="33"/>
        <v>A</v>
      </c>
      <c r="AO137" s="35" t="str">
        <f t="shared" si="33"/>
        <v>A</v>
      </c>
      <c r="AP137" s="36"/>
    </row>
    <row r="138" spans="1:42">
      <c r="A138" s="25"/>
      <c r="B138" s="26"/>
      <c r="C138" s="39"/>
      <c r="D138" s="28"/>
      <c r="E138" s="28"/>
      <c r="F138" s="28"/>
      <c r="G138" s="28" t="s">
        <v>74</v>
      </c>
      <c r="H138" s="28" t="s">
        <v>76</v>
      </c>
      <c r="I138" s="28" t="s">
        <v>25</v>
      </c>
      <c r="J138" s="29" t="s">
        <v>13</v>
      </c>
      <c r="K138" s="25" t="s">
        <v>34</v>
      </c>
      <c r="L138" s="25" t="s">
        <v>34</v>
      </c>
      <c r="M138" s="25" t="s">
        <v>75</v>
      </c>
      <c r="N138" s="25" t="s">
        <v>71</v>
      </c>
      <c r="O138" s="25" t="s">
        <v>34</v>
      </c>
      <c r="P138" s="25" t="s">
        <v>34</v>
      </c>
      <c r="Q138" s="25" t="s">
        <v>34</v>
      </c>
      <c r="R138" s="25" t="s">
        <v>34</v>
      </c>
      <c r="S138" s="25" t="s">
        <v>47</v>
      </c>
      <c r="T138" s="25" t="s">
        <v>34</v>
      </c>
      <c r="U138" s="25" t="s">
        <v>34</v>
      </c>
      <c r="V138" s="25" t="s">
        <v>34</v>
      </c>
      <c r="W138" s="25" t="s">
        <v>34</v>
      </c>
      <c r="X138" s="25" t="s">
        <v>71</v>
      </c>
      <c r="Y138" s="25" t="s">
        <v>47</v>
      </c>
      <c r="Z138" s="25" t="s">
        <v>34</v>
      </c>
      <c r="AA138" s="25" t="s">
        <v>34</v>
      </c>
      <c r="AB138" s="25" t="s">
        <v>71</v>
      </c>
      <c r="AC138" s="25" t="s">
        <v>34</v>
      </c>
      <c r="AD138" s="25" t="s">
        <v>34</v>
      </c>
      <c r="AE138" s="25" t="s">
        <v>34</v>
      </c>
      <c r="AF138" s="25" t="s">
        <v>34</v>
      </c>
      <c r="AG138" s="25" t="s">
        <v>34</v>
      </c>
      <c r="AH138" s="25" t="s">
        <v>34</v>
      </c>
      <c r="AI138" s="25" t="s">
        <v>34</v>
      </c>
      <c r="AJ138" s="25" t="s">
        <v>71</v>
      </c>
      <c r="AK138" s="25"/>
      <c r="AL138" s="25"/>
      <c r="AM138" s="25"/>
      <c r="AN138" s="25"/>
      <c r="AO138" s="25"/>
      <c r="AP138" s="19">
        <f>COUNTIF(K138:AO138,"p")</f>
        <v>19</v>
      </c>
    </row>
    <row r="139" spans="1:42">
      <c r="A139" s="25"/>
      <c r="B139" s="26"/>
      <c r="C139" s="39"/>
      <c r="D139" s="28"/>
      <c r="E139" s="28"/>
      <c r="F139" s="28"/>
      <c r="G139" s="28" t="s">
        <v>74</v>
      </c>
      <c r="H139" s="28" t="s">
        <v>76</v>
      </c>
      <c r="I139" s="28" t="s">
        <v>25</v>
      </c>
      <c r="J139" s="29" t="s">
        <v>32</v>
      </c>
      <c r="K139" s="30">
        <v>0.375</v>
      </c>
      <c r="L139" s="30">
        <v>0.375</v>
      </c>
      <c r="M139" s="19"/>
      <c r="N139" s="19"/>
      <c r="O139" s="30">
        <v>0.37152777777777773</v>
      </c>
      <c r="P139" s="30">
        <v>0.375</v>
      </c>
      <c r="Q139" s="30">
        <v>0.375</v>
      </c>
      <c r="R139" s="30">
        <v>0.4055555555555555</v>
      </c>
      <c r="S139" s="19"/>
      <c r="T139" s="30">
        <v>0.375</v>
      </c>
      <c r="U139" s="30">
        <v>0.375</v>
      </c>
      <c r="V139" s="30">
        <v>0.375</v>
      </c>
      <c r="W139" s="30">
        <v>0.375</v>
      </c>
      <c r="X139" s="30"/>
      <c r="Y139" s="30"/>
      <c r="Z139" s="30">
        <v>0.375</v>
      </c>
      <c r="AA139" s="30">
        <v>0.375</v>
      </c>
      <c r="AB139" s="30"/>
      <c r="AC139" s="30">
        <v>0.375</v>
      </c>
      <c r="AD139" s="30">
        <v>0.375</v>
      </c>
      <c r="AE139" s="30">
        <v>0.375</v>
      </c>
      <c r="AF139" s="30">
        <v>0.375</v>
      </c>
      <c r="AG139" s="30">
        <v>0.375</v>
      </c>
      <c r="AH139" s="30">
        <v>0.375</v>
      </c>
      <c r="AI139" s="30">
        <v>0.375</v>
      </c>
      <c r="AJ139" s="30" t="s">
        <v>71</v>
      </c>
      <c r="AK139" s="19"/>
      <c r="AL139" s="30"/>
      <c r="AM139" s="30"/>
      <c r="AN139" s="19"/>
      <c r="AO139" s="19"/>
      <c r="AP139" s="19"/>
    </row>
    <row r="140" spans="1:42">
      <c r="A140" s="25"/>
      <c r="B140" s="26"/>
      <c r="C140" s="39"/>
      <c r="D140" s="28"/>
      <c r="E140" s="28"/>
      <c r="F140" s="28"/>
      <c r="G140" s="28" t="s">
        <v>74</v>
      </c>
      <c r="H140" s="28" t="s">
        <v>76</v>
      </c>
      <c r="I140" s="28" t="s">
        <v>25</v>
      </c>
      <c r="J140" s="29" t="s">
        <v>33</v>
      </c>
      <c r="K140" s="30">
        <v>0.8125</v>
      </c>
      <c r="L140" s="30">
        <v>0.77777777777777779</v>
      </c>
      <c r="M140" s="19"/>
      <c r="N140" s="19"/>
      <c r="O140" s="30">
        <v>0.76388888888888884</v>
      </c>
      <c r="P140" s="30">
        <v>0.75</v>
      </c>
      <c r="Q140" s="30">
        <v>0.79166666666666663</v>
      </c>
      <c r="R140" s="30">
        <v>0.8125</v>
      </c>
      <c r="S140" s="19"/>
      <c r="T140" s="30">
        <v>0.75</v>
      </c>
      <c r="U140" s="30">
        <v>0.83333333333333337</v>
      </c>
      <c r="V140" s="30">
        <v>0.83333333333333337</v>
      </c>
      <c r="W140" s="30">
        <v>0.76041666666666663</v>
      </c>
      <c r="X140" s="30"/>
      <c r="Y140" s="30"/>
      <c r="Z140" s="30">
        <v>0.79166666666666663</v>
      </c>
      <c r="AA140" s="30">
        <v>0.75</v>
      </c>
      <c r="AB140" s="30"/>
      <c r="AC140" s="30">
        <v>0.85416666666666663</v>
      </c>
      <c r="AD140" s="30">
        <v>0.83333333333333337</v>
      </c>
      <c r="AE140" s="30">
        <v>0.83333333333333337</v>
      </c>
      <c r="AF140" s="30">
        <v>0.77083333333333337</v>
      </c>
      <c r="AG140" s="30">
        <v>0.83333333333333337</v>
      </c>
      <c r="AH140" s="30">
        <v>0.79166666666666663</v>
      </c>
      <c r="AI140" s="30">
        <v>0.64444444444444449</v>
      </c>
      <c r="AJ140" s="30" t="s">
        <v>71</v>
      </c>
      <c r="AK140" s="19"/>
      <c r="AL140" s="30"/>
      <c r="AM140" s="30"/>
      <c r="AN140" s="19"/>
      <c r="AO140" s="19"/>
      <c r="AP140" s="19"/>
    </row>
    <row r="141" spans="1:42">
      <c r="A141" s="45"/>
      <c r="B141" s="32"/>
      <c r="C141" s="47"/>
      <c r="D141" s="32"/>
      <c r="E141" s="32"/>
      <c r="F141" s="61"/>
      <c r="G141" s="32" t="s">
        <v>74</v>
      </c>
      <c r="H141" s="32" t="s">
        <v>76</v>
      </c>
      <c r="I141" s="32" t="s">
        <v>25</v>
      </c>
      <c r="J141" s="34" t="s">
        <v>72</v>
      </c>
      <c r="K141" s="35">
        <f t="shared" ref="K141:AO141" si="34">IF(AND(ISBLANK(K139),ISBLANK(K140)),"A",IFERROR(+MOD(K140-K139,1),0))</f>
        <v>0.4375</v>
      </c>
      <c r="L141" s="35">
        <f t="shared" si="34"/>
        <v>0.40277777777777779</v>
      </c>
      <c r="M141" s="35" t="str">
        <f t="shared" si="34"/>
        <v>A</v>
      </c>
      <c r="N141" s="35" t="str">
        <f t="shared" si="34"/>
        <v>A</v>
      </c>
      <c r="O141" s="35">
        <f t="shared" si="34"/>
        <v>0.3923611111111111</v>
      </c>
      <c r="P141" s="35">
        <f t="shared" si="34"/>
        <v>0.375</v>
      </c>
      <c r="Q141" s="35">
        <f t="shared" si="34"/>
        <v>0.41666666666666663</v>
      </c>
      <c r="R141" s="35">
        <f t="shared" si="34"/>
        <v>0.4069444444444445</v>
      </c>
      <c r="S141" s="35" t="str">
        <f t="shared" si="34"/>
        <v>A</v>
      </c>
      <c r="T141" s="35">
        <f t="shared" si="34"/>
        <v>0.375</v>
      </c>
      <c r="U141" s="35">
        <f t="shared" si="34"/>
        <v>0.45833333333333337</v>
      </c>
      <c r="V141" s="35">
        <f t="shared" si="34"/>
        <v>0.45833333333333337</v>
      </c>
      <c r="W141" s="35">
        <f t="shared" si="34"/>
        <v>0.38541666666666663</v>
      </c>
      <c r="X141" s="35" t="str">
        <f t="shared" si="34"/>
        <v>A</v>
      </c>
      <c r="Y141" s="35" t="str">
        <f t="shared" si="34"/>
        <v>A</v>
      </c>
      <c r="Z141" s="35">
        <f t="shared" si="34"/>
        <v>0.41666666666666663</v>
      </c>
      <c r="AA141" s="35">
        <f t="shared" si="34"/>
        <v>0.375</v>
      </c>
      <c r="AB141" s="35" t="str">
        <f t="shared" si="34"/>
        <v>A</v>
      </c>
      <c r="AC141" s="35">
        <f t="shared" si="34"/>
        <v>0.47916666666666663</v>
      </c>
      <c r="AD141" s="35">
        <f t="shared" si="34"/>
        <v>0.45833333333333337</v>
      </c>
      <c r="AE141" s="35">
        <f t="shared" si="34"/>
        <v>0.45833333333333337</v>
      </c>
      <c r="AF141" s="35">
        <f t="shared" si="34"/>
        <v>0.39583333333333337</v>
      </c>
      <c r="AG141" s="35">
        <f t="shared" si="34"/>
        <v>0.45833333333333337</v>
      </c>
      <c r="AH141" s="35">
        <f t="shared" si="34"/>
        <v>0.41666666666666663</v>
      </c>
      <c r="AI141" s="35">
        <f t="shared" si="34"/>
        <v>0.26944444444444449</v>
      </c>
      <c r="AJ141" s="35" t="s">
        <v>71</v>
      </c>
      <c r="AK141" s="35" t="str">
        <f t="shared" si="34"/>
        <v>A</v>
      </c>
      <c r="AL141" s="35" t="str">
        <f t="shared" si="34"/>
        <v>A</v>
      </c>
      <c r="AM141" s="35" t="str">
        <f t="shared" si="34"/>
        <v>A</v>
      </c>
      <c r="AN141" s="35" t="str">
        <f t="shared" si="34"/>
        <v>A</v>
      </c>
      <c r="AO141" s="35" t="str">
        <f t="shared" si="34"/>
        <v>A</v>
      </c>
      <c r="AP141" s="36"/>
    </row>
    <row r="142" spans="1:42">
      <c r="A142" s="25"/>
      <c r="B142" s="26"/>
      <c r="C142" s="39"/>
      <c r="D142" s="28"/>
      <c r="E142" s="28"/>
      <c r="F142" s="28"/>
      <c r="G142" s="28" t="s">
        <v>74</v>
      </c>
      <c r="H142" s="51" t="s">
        <v>76</v>
      </c>
      <c r="I142" s="28" t="s">
        <v>77</v>
      </c>
      <c r="J142" s="29" t="s">
        <v>13</v>
      </c>
      <c r="K142" s="25" t="s">
        <v>71</v>
      </c>
      <c r="L142" s="25" t="s">
        <v>71</v>
      </c>
      <c r="M142" s="25" t="s">
        <v>71</v>
      </c>
      <c r="N142" s="25" t="s">
        <v>71</v>
      </c>
      <c r="O142" s="25" t="s">
        <v>34</v>
      </c>
      <c r="P142" s="25" t="s">
        <v>71</v>
      </c>
      <c r="Q142" s="25" t="s">
        <v>71</v>
      </c>
      <c r="R142" s="25" t="s">
        <v>71</v>
      </c>
      <c r="S142" s="25" t="s">
        <v>71</v>
      </c>
      <c r="T142" s="25" t="s">
        <v>71</v>
      </c>
      <c r="U142" s="25" t="s">
        <v>71</v>
      </c>
      <c r="V142" s="25" t="s">
        <v>71</v>
      </c>
      <c r="W142" s="25" t="s">
        <v>71</v>
      </c>
      <c r="X142" s="25" t="s">
        <v>71</v>
      </c>
      <c r="Y142" s="25" t="s">
        <v>71</v>
      </c>
      <c r="Z142" s="25" t="s">
        <v>71</v>
      </c>
      <c r="AA142" s="25" t="s">
        <v>71</v>
      </c>
      <c r="AB142" s="25" t="s">
        <v>71</v>
      </c>
      <c r="AC142" s="25" t="s">
        <v>71</v>
      </c>
      <c r="AD142" s="25" t="s">
        <v>71</v>
      </c>
      <c r="AE142" s="25" t="s">
        <v>71</v>
      </c>
      <c r="AF142" s="25" t="s">
        <v>71</v>
      </c>
      <c r="AG142" s="25" t="s">
        <v>71</v>
      </c>
      <c r="AH142" s="25" t="s">
        <v>71</v>
      </c>
      <c r="AI142" s="25" t="s">
        <v>71</v>
      </c>
      <c r="AJ142" s="25" t="s">
        <v>71</v>
      </c>
      <c r="AK142" s="25" t="s">
        <v>71</v>
      </c>
      <c r="AL142" s="25" t="s">
        <v>71</v>
      </c>
      <c r="AM142" s="25" t="s">
        <v>71</v>
      </c>
      <c r="AN142" s="25" t="s">
        <v>71</v>
      </c>
      <c r="AO142" s="25" t="s">
        <v>71</v>
      </c>
      <c r="AP142" s="19">
        <f>COUNTIF(K142:AO142,"p")</f>
        <v>1</v>
      </c>
    </row>
    <row r="143" spans="1:42">
      <c r="A143" s="25"/>
      <c r="B143" s="26"/>
      <c r="C143" s="39"/>
      <c r="D143" s="28"/>
      <c r="E143" s="28"/>
      <c r="F143" s="28"/>
      <c r="G143" s="28" t="s">
        <v>74</v>
      </c>
      <c r="H143" s="51" t="s">
        <v>76</v>
      </c>
      <c r="I143" s="28" t="s">
        <v>77</v>
      </c>
      <c r="J143" s="29" t="s">
        <v>32</v>
      </c>
      <c r="K143" s="19"/>
      <c r="L143" s="19"/>
      <c r="M143" s="19"/>
      <c r="N143" s="19"/>
      <c r="O143" s="30">
        <v>0.38194444444444442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30"/>
      <c r="AA143" s="30"/>
      <c r="AB143" s="30"/>
      <c r="AC143" s="30"/>
      <c r="AD143" s="30"/>
      <c r="AE143" s="30"/>
      <c r="AF143" s="25" t="s">
        <v>71</v>
      </c>
      <c r="AG143" s="25" t="s">
        <v>71</v>
      </c>
      <c r="AH143" s="25" t="s">
        <v>71</v>
      </c>
      <c r="AI143" s="25" t="s">
        <v>71</v>
      </c>
      <c r="AJ143" s="25" t="s">
        <v>71</v>
      </c>
      <c r="AK143" s="19"/>
      <c r="AL143" s="19"/>
      <c r="AM143" s="19"/>
      <c r="AN143" s="19"/>
      <c r="AO143" s="19"/>
      <c r="AP143" s="19"/>
    </row>
    <row r="144" spans="1:42">
      <c r="A144" s="25"/>
      <c r="B144" s="26"/>
      <c r="C144" s="39"/>
      <c r="D144" s="28"/>
      <c r="E144" s="28"/>
      <c r="F144" s="28"/>
      <c r="G144" s="28" t="s">
        <v>74</v>
      </c>
      <c r="H144" s="51" t="s">
        <v>76</v>
      </c>
      <c r="I144" s="28" t="s">
        <v>77</v>
      </c>
      <c r="J144" s="29" t="s">
        <v>33</v>
      </c>
      <c r="K144" s="19"/>
      <c r="L144" s="19"/>
      <c r="M144" s="19"/>
      <c r="N144" s="19"/>
      <c r="O144" s="30">
        <v>0.76388888888888884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30"/>
      <c r="AA144" s="30"/>
      <c r="AB144" s="30"/>
      <c r="AC144" s="30"/>
      <c r="AD144" s="30"/>
      <c r="AE144" s="30"/>
      <c r="AF144" s="25" t="s">
        <v>71</v>
      </c>
      <c r="AG144" s="25" t="s">
        <v>71</v>
      </c>
      <c r="AH144" s="25" t="s">
        <v>71</v>
      </c>
      <c r="AI144" s="25" t="s">
        <v>71</v>
      </c>
      <c r="AJ144" s="25" t="s">
        <v>71</v>
      </c>
      <c r="AK144" s="19"/>
      <c r="AL144" s="19"/>
      <c r="AM144" s="19"/>
      <c r="AN144" s="19"/>
      <c r="AO144" s="19"/>
      <c r="AP144" s="19"/>
    </row>
    <row r="145" spans="1:42">
      <c r="A145" s="31"/>
      <c r="B145" s="32"/>
      <c r="C145" s="47"/>
      <c r="D145" s="32"/>
      <c r="E145" s="32"/>
      <c r="F145" s="32"/>
      <c r="G145" s="32" t="s">
        <v>74</v>
      </c>
      <c r="H145" s="53" t="s">
        <v>76</v>
      </c>
      <c r="I145" s="32" t="s">
        <v>77</v>
      </c>
      <c r="J145" s="34" t="s">
        <v>72</v>
      </c>
      <c r="K145" s="35" t="str">
        <f t="shared" ref="K145:AO145" si="35">IF(AND(ISBLANK(K143),ISBLANK(K144)),"A",IFERROR(+MOD(K144-K143,1),0))</f>
        <v>A</v>
      </c>
      <c r="L145" s="35" t="str">
        <f t="shared" si="35"/>
        <v>A</v>
      </c>
      <c r="M145" s="35" t="str">
        <f t="shared" si="35"/>
        <v>A</v>
      </c>
      <c r="N145" s="35" t="str">
        <f t="shared" si="35"/>
        <v>A</v>
      </c>
      <c r="O145" s="35">
        <f t="shared" si="35"/>
        <v>0.38194444444444442</v>
      </c>
      <c r="P145" s="35" t="str">
        <f t="shared" si="35"/>
        <v>A</v>
      </c>
      <c r="Q145" s="35" t="str">
        <f t="shared" si="35"/>
        <v>A</v>
      </c>
      <c r="R145" s="35" t="str">
        <f t="shared" si="35"/>
        <v>A</v>
      </c>
      <c r="S145" s="35" t="str">
        <f t="shared" si="35"/>
        <v>A</v>
      </c>
      <c r="T145" s="35" t="str">
        <f t="shared" si="35"/>
        <v>A</v>
      </c>
      <c r="U145" s="35" t="str">
        <f t="shared" si="35"/>
        <v>A</v>
      </c>
      <c r="V145" s="35" t="str">
        <f t="shared" si="35"/>
        <v>A</v>
      </c>
      <c r="W145" s="35" t="str">
        <f t="shared" si="35"/>
        <v>A</v>
      </c>
      <c r="X145" s="35" t="str">
        <f t="shared" si="35"/>
        <v>A</v>
      </c>
      <c r="Y145" s="35" t="str">
        <f t="shared" si="35"/>
        <v>A</v>
      </c>
      <c r="Z145" s="35" t="str">
        <f t="shared" si="35"/>
        <v>A</v>
      </c>
      <c r="AA145" s="35" t="str">
        <f t="shared" si="35"/>
        <v>A</v>
      </c>
      <c r="AB145" s="35" t="str">
        <f t="shared" si="35"/>
        <v>A</v>
      </c>
      <c r="AC145" s="35" t="str">
        <f t="shared" si="35"/>
        <v>A</v>
      </c>
      <c r="AD145" s="35" t="str">
        <f t="shared" si="35"/>
        <v>A</v>
      </c>
      <c r="AE145" s="35" t="str">
        <f t="shared" si="35"/>
        <v>A</v>
      </c>
      <c r="AF145" s="25" t="s">
        <v>71</v>
      </c>
      <c r="AG145" s="25" t="s">
        <v>71</v>
      </c>
      <c r="AH145" s="25" t="s">
        <v>71</v>
      </c>
      <c r="AI145" s="25" t="s">
        <v>71</v>
      </c>
      <c r="AJ145" s="25" t="s">
        <v>71</v>
      </c>
      <c r="AK145" s="35" t="str">
        <f t="shared" si="35"/>
        <v>A</v>
      </c>
      <c r="AL145" s="35" t="str">
        <f t="shared" si="35"/>
        <v>A</v>
      </c>
      <c r="AM145" s="35" t="str">
        <f t="shared" si="35"/>
        <v>A</v>
      </c>
      <c r="AN145" s="35" t="str">
        <f t="shared" si="35"/>
        <v>A</v>
      </c>
      <c r="AO145" s="35" t="str">
        <f t="shared" si="35"/>
        <v>A</v>
      </c>
      <c r="AP145" s="36"/>
    </row>
    <row r="146" spans="1:42">
      <c r="A146" s="25"/>
      <c r="B146" s="28"/>
      <c r="C146" s="27"/>
      <c r="D146" s="28"/>
      <c r="E146" s="28"/>
      <c r="F146" s="60"/>
      <c r="G146" s="28" t="s">
        <v>69</v>
      </c>
      <c r="H146" s="28" t="s">
        <v>76</v>
      </c>
      <c r="I146" s="28" t="s">
        <v>25</v>
      </c>
      <c r="J146" s="29" t="s">
        <v>13</v>
      </c>
      <c r="K146" s="25" t="s">
        <v>71</v>
      </c>
      <c r="L146" s="25" t="s">
        <v>34</v>
      </c>
      <c r="M146" s="25" t="s">
        <v>71</v>
      </c>
      <c r="N146" s="25" t="s">
        <v>34</v>
      </c>
      <c r="O146" s="25" t="s">
        <v>34</v>
      </c>
      <c r="P146" s="25" t="s">
        <v>34</v>
      </c>
      <c r="Q146" s="25" t="s">
        <v>34</v>
      </c>
      <c r="R146" s="25" t="s">
        <v>34</v>
      </c>
      <c r="S146" s="25" t="s">
        <v>71</v>
      </c>
      <c r="T146" s="25" t="s">
        <v>71</v>
      </c>
      <c r="U146" s="25" t="s">
        <v>34</v>
      </c>
      <c r="V146" s="25" t="s">
        <v>34</v>
      </c>
      <c r="W146" s="25" t="s">
        <v>34</v>
      </c>
      <c r="X146" s="25" t="s">
        <v>34</v>
      </c>
      <c r="Y146" s="25" t="s">
        <v>47</v>
      </c>
      <c r="Z146" s="25" t="s">
        <v>34</v>
      </c>
      <c r="AA146" s="25" t="s">
        <v>71</v>
      </c>
      <c r="AB146" s="25" t="s">
        <v>34</v>
      </c>
      <c r="AC146" s="25" t="s">
        <v>71</v>
      </c>
      <c r="AD146" s="25" t="s">
        <v>34</v>
      </c>
      <c r="AE146" s="25" t="s">
        <v>34</v>
      </c>
      <c r="AF146" s="25" t="s">
        <v>34</v>
      </c>
      <c r="AG146" s="25" t="s">
        <v>71</v>
      </c>
      <c r="AH146" s="25" t="s">
        <v>71</v>
      </c>
      <c r="AI146" s="25" t="s">
        <v>34</v>
      </c>
      <c r="AJ146" s="25" t="s">
        <v>34</v>
      </c>
      <c r="AK146" s="25"/>
      <c r="AL146" s="25"/>
      <c r="AM146" s="25"/>
      <c r="AN146" s="25"/>
      <c r="AO146" s="25"/>
      <c r="AP146" s="19">
        <f>COUNTIF(K146:AO146,"p")</f>
        <v>17</v>
      </c>
    </row>
    <row r="147" spans="1:42">
      <c r="A147" s="25"/>
      <c r="B147" s="28"/>
      <c r="C147" s="27"/>
      <c r="D147" s="28"/>
      <c r="E147" s="28"/>
      <c r="F147" s="60"/>
      <c r="G147" s="28" t="s">
        <v>69</v>
      </c>
      <c r="H147" s="28" t="s">
        <v>76</v>
      </c>
      <c r="I147" s="28" t="s">
        <v>25</v>
      </c>
      <c r="J147" s="29" t="s">
        <v>32</v>
      </c>
      <c r="K147" s="30"/>
      <c r="L147" s="30">
        <v>0.375</v>
      </c>
      <c r="M147" s="30"/>
      <c r="N147" s="30">
        <v>0.375</v>
      </c>
      <c r="O147" s="30">
        <v>0.37152777777777773</v>
      </c>
      <c r="P147" s="30">
        <v>0.375</v>
      </c>
      <c r="Q147" s="30">
        <v>0.375</v>
      </c>
      <c r="R147" s="30">
        <v>0.375</v>
      </c>
      <c r="S147" s="19"/>
      <c r="T147" s="30"/>
      <c r="U147" s="30">
        <v>0.38194444444444442</v>
      </c>
      <c r="V147" s="30">
        <v>0.375</v>
      </c>
      <c r="W147" s="30">
        <v>0.37847222222222227</v>
      </c>
      <c r="X147" s="30">
        <v>0.38194444444444442</v>
      </c>
      <c r="Y147" s="30"/>
      <c r="Z147" s="30">
        <v>0.375</v>
      </c>
      <c r="AA147" s="30"/>
      <c r="AB147" s="30">
        <v>0.375</v>
      </c>
      <c r="AC147" s="30"/>
      <c r="AD147" s="30">
        <v>0.375</v>
      </c>
      <c r="AE147" s="30">
        <v>0.37847222222222227</v>
      </c>
      <c r="AF147" s="30">
        <v>0.375</v>
      </c>
      <c r="AG147" s="30" t="s">
        <v>71</v>
      </c>
      <c r="AH147" s="30" t="s">
        <v>71</v>
      </c>
      <c r="AI147" s="30">
        <v>0.375</v>
      </c>
      <c r="AJ147" s="30">
        <v>0.375</v>
      </c>
      <c r="AK147" s="30"/>
      <c r="AL147" s="30"/>
      <c r="AM147" s="30"/>
      <c r="AN147" s="19"/>
      <c r="AO147" s="19"/>
      <c r="AP147" s="19"/>
    </row>
    <row r="148" spans="1:42">
      <c r="A148" s="25"/>
      <c r="B148" s="28"/>
      <c r="C148" s="27"/>
      <c r="D148" s="28"/>
      <c r="E148" s="28"/>
      <c r="F148" s="60"/>
      <c r="G148" s="28" t="s">
        <v>69</v>
      </c>
      <c r="H148" s="28" t="s">
        <v>76</v>
      </c>
      <c r="I148" s="28" t="s">
        <v>25</v>
      </c>
      <c r="J148" s="29" t="s">
        <v>33</v>
      </c>
      <c r="K148" s="30"/>
      <c r="L148" s="30">
        <v>0.75</v>
      </c>
      <c r="M148" s="30"/>
      <c r="N148" s="30">
        <v>0.80555555555555547</v>
      </c>
      <c r="O148" s="30">
        <v>0.79166666666666663</v>
      </c>
      <c r="P148" s="30">
        <v>0.79166666666666663</v>
      </c>
      <c r="Q148" s="30">
        <v>0.75</v>
      </c>
      <c r="R148" s="30">
        <v>0.75</v>
      </c>
      <c r="S148" s="19"/>
      <c r="T148" s="30"/>
      <c r="U148" s="30">
        <v>0.71666666666666667</v>
      </c>
      <c r="V148" s="30">
        <v>0.75694444444444453</v>
      </c>
      <c r="W148" s="30">
        <v>0.75</v>
      </c>
      <c r="X148" s="30">
        <v>0.75</v>
      </c>
      <c r="Y148" s="30"/>
      <c r="Z148" s="30">
        <v>0.75</v>
      </c>
      <c r="AA148" s="30"/>
      <c r="AB148" s="30">
        <v>0.80208333333333337</v>
      </c>
      <c r="AC148" s="30"/>
      <c r="AD148" s="30">
        <v>0.79166666666666663</v>
      </c>
      <c r="AE148" s="30">
        <v>0.76388888888888884</v>
      </c>
      <c r="AF148" s="30">
        <v>0.79166666666666663</v>
      </c>
      <c r="AG148" s="30" t="s">
        <v>71</v>
      </c>
      <c r="AH148" s="30" t="s">
        <v>71</v>
      </c>
      <c r="AI148" s="30">
        <v>0.75</v>
      </c>
      <c r="AJ148" s="30"/>
      <c r="AK148" s="30"/>
      <c r="AL148" s="30"/>
      <c r="AM148" s="30"/>
      <c r="AN148" s="19"/>
      <c r="AO148" s="19"/>
      <c r="AP148" s="19"/>
    </row>
    <row r="149" spans="1:42">
      <c r="A149" s="45"/>
      <c r="B149" s="32"/>
      <c r="C149" s="33"/>
      <c r="D149" s="32"/>
      <c r="E149" s="32"/>
      <c r="F149" s="61"/>
      <c r="G149" s="32" t="s">
        <v>69</v>
      </c>
      <c r="H149" s="32" t="s">
        <v>76</v>
      </c>
      <c r="I149" s="32" t="s">
        <v>25</v>
      </c>
      <c r="J149" s="34" t="s">
        <v>72</v>
      </c>
      <c r="K149" s="35" t="str">
        <f t="shared" ref="K149:AO149" si="36">IF(AND(ISBLANK(K147),ISBLANK(K148)),"A",IFERROR(+MOD(K148-K147,1),0))</f>
        <v>A</v>
      </c>
      <c r="L149" s="35">
        <f t="shared" si="36"/>
        <v>0.375</v>
      </c>
      <c r="M149" s="35" t="str">
        <f t="shared" si="36"/>
        <v>A</v>
      </c>
      <c r="N149" s="35">
        <f t="shared" si="36"/>
        <v>0.43055555555555547</v>
      </c>
      <c r="O149" s="35">
        <f t="shared" si="36"/>
        <v>0.4201388888888889</v>
      </c>
      <c r="P149" s="35">
        <f t="shared" si="36"/>
        <v>0.41666666666666663</v>
      </c>
      <c r="Q149" s="35">
        <f t="shared" si="36"/>
        <v>0.375</v>
      </c>
      <c r="R149" s="35">
        <f t="shared" si="36"/>
        <v>0.375</v>
      </c>
      <c r="S149" s="35" t="str">
        <f t="shared" si="36"/>
        <v>A</v>
      </c>
      <c r="T149" s="35" t="str">
        <f t="shared" si="36"/>
        <v>A</v>
      </c>
      <c r="U149" s="35">
        <f t="shared" si="36"/>
        <v>0.33472222222222225</v>
      </c>
      <c r="V149" s="35">
        <f t="shared" si="36"/>
        <v>0.38194444444444453</v>
      </c>
      <c r="W149" s="35">
        <f t="shared" si="36"/>
        <v>0.37152777777777773</v>
      </c>
      <c r="X149" s="35">
        <f t="shared" si="36"/>
        <v>0.36805555555555558</v>
      </c>
      <c r="Y149" s="35" t="str">
        <f t="shared" si="36"/>
        <v>A</v>
      </c>
      <c r="Z149" s="35">
        <f t="shared" si="36"/>
        <v>0.375</v>
      </c>
      <c r="AA149" s="35" t="str">
        <f t="shared" si="36"/>
        <v>A</v>
      </c>
      <c r="AB149" s="35">
        <f t="shared" si="36"/>
        <v>0.42708333333333337</v>
      </c>
      <c r="AC149" s="35" t="str">
        <f t="shared" si="36"/>
        <v>A</v>
      </c>
      <c r="AD149" s="35">
        <f t="shared" si="36"/>
        <v>0.41666666666666663</v>
      </c>
      <c r="AE149" s="35">
        <f t="shared" si="36"/>
        <v>0.38541666666666657</v>
      </c>
      <c r="AF149" s="35">
        <f t="shared" si="36"/>
        <v>0.41666666666666663</v>
      </c>
      <c r="AG149" s="35" t="s">
        <v>71</v>
      </c>
      <c r="AH149" s="35" t="s">
        <v>71</v>
      </c>
      <c r="AI149" s="35">
        <f t="shared" si="36"/>
        <v>0.375</v>
      </c>
      <c r="AJ149" s="35">
        <f t="shared" si="36"/>
        <v>0.625</v>
      </c>
      <c r="AK149" s="35" t="str">
        <f t="shared" si="36"/>
        <v>A</v>
      </c>
      <c r="AL149" s="35" t="str">
        <f t="shared" si="36"/>
        <v>A</v>
      </c>
      <c r="AM149" s="35" t="str">
        <f t="shared" si="36"/>
        <v>A</v>
      </c>
      <c r="AN149" s="35" t="str">
        <f t="shared" si="36"/>
        <v>A</v>
      </c>
      <c r="AO149" s="35" t="str">
        <f t="shared" si="36"/>
        <v>A</v>
      </c>
      <c r="AP149" s="36"/>
    </row>
    <row r="150" spans="1:42">
      <c r="A150" s="25"/>
      <c r="B150" s="26"/>
      <c r="C150" s="62"/>
      <c r="D150" s="28"/>
      <c r="E150" s="28"/>
      <c r="F150" s="28"/>
      <c r="G150" s="28" t="s">
        <v>69</v>
      </c>
      <c r="H150" s="51" t="s">
        <v>76</v>
      </c>
      <c r="I150" s="28" t="s">
        <v>25</v>
      </c>
      <c r="J150" s="29" t="s">
        <v>13</v>
      </c>
      <c r="K150" s="25" t="s">
        <v>34</v>
      </c>
      <c r="L150" s="25" t="s">
        <v>34</v>
      </c>
      <c r="M150" s="25" t="s">
        <v>34</v>
      </c>
      <c r="N150" s="25" t="s">
        <v>34</v>
      </c>
      <c r="O150" s="25" t="s">
        <v>34</v>
      </c>
      <c r="P150" s="25" t="s">
        <v>34</v>
      </c>
      <c r="Q150" s="25" t="s">
        <v>34</v>
      </c>
      <c r="R150" s="25" t="s">
        <v>34</v>
      </c>
      <c r="S150" s="25" t="s">
        <v>34</v>
      </c>
      <c r="T150" s="25" t="s">
        <v>34</v>
      </c>
      <c r="U150" s="25" t="s">
        <v>34</v>
      </c>
      <c r="V150" s="25" t="s">
        <v>34</v>
      </c>
      <c r="W150" s="25" t="s">
        <v>34</v>
      </c>
      <c r="X150" s="25" t="s">
        <v>34</v>
      </c>
      <c r="Y150" s="25" t="s">
        <v>34</v>
      </c>
      <c r="Z150" s="25" t="s">
        <v>34</v>
      </c>
      <c r="AA150" s="25" t="s">
        <v>34</v>
      </c>
      <c r="AB150" s="25" t="s">
        <v>34</v>
      </c>
      <c r="AC150" s="25" t="s">
        <v>34</v>
      </c>
      <c r="AD150" s="25" t="s">
        <v>34</v>
      </c>
      <c r="AE150" s="25" t="s">
        <v>34</v>
      </c>
      <c r="AF150" s="25" t="s">
        <v>71</v>
      </c>
      <c r="AG150" s="25" t="s">
        <v>34</v>
      </c>
      <c r="AH150" s="25" t="s">
        <v>34</v>
      </c>
      <c r="AI150" s="25" t="s">
        <v>34</v>
      </c>
      <c r="AJ150" s="25" t="s">
        <v>34</v>
      </c>
      <c r="AK150" s="25"/>
      <c r="AL150" s="25"/>
      <c r="AM150" s="25"/>
      <c r="AN150" s="25"/>
      <c r="AO150" s="25"/>
      <c r="AP150" s="19">
        <f>COUNTIF(K150:AO150,"p")</f>
        <v>25</v>
      </c>
    </row>
    <row r="151" spans="1:42">
      <c r="A151" s="25"/>
      <c r="B151" s="26"/>
      <c r="C151" s="62"/>
      <c r="D151" s="28"/>
      <c r="E151" s="28"/>
      <c r="F151" s="28"/>
      <c r="G151" s="28" t="s">
        <v>69</v>
      </c>
      <c r="H151" s="51" t="s">
        <v>76</v>
      </c>
      <c r="I151" s="28" t="s">
        <v>25</v>
      </c>
      <c r="J151" s="29" t="s">
        <v>32</v>
      </c>
      <c r="K151" s="30">
        <v>0.375</v>
      </c>
      <c r="L151" s="30">
        <v>0.375</v>
      </c>
      <c r="M151" s="30">
        <v>0.375</v>
      </c>
      <c r="N151" s="30">
        <v>0.37083333333333335</v>
      </c>
      <c r="O151" s="30">
        <v>0.375</v>
      </c>
      <c r="P151" s="30">
        <v>0.3659722222222222</v>
      </c>
      <c r="Q151" s="30">
        <v>0.375</v>
      </c>
      <c r="R151" s="30">
        <v>0.3659722222222222</v>
      </c>
      <c r="S151" s="30">
        <v>0.36805555555555558</v>
      </c>
      <c r="T151" s="30">
        <v>0.33333333333333331</v>
      </c>
      <c r="U151" s="30">
        <v>0.375</v>
      </c>
      <c r="V151" s="30">
        <v>0.375</v>
      </c>
      <c r="W151" s="30">
        <v>0.375</v>
      </c>
      <c r="X151" s="30">
        <v>0.375</v>
      </c>
      <c r="Y151" s="30">
        <v>0.33333333333333331</v>
      </c>
      <c r="Z151" s="30">
        <v>0.375</v>
      </c>
      <c r="AA151" s="30">
        <v>0.35416666666666669</v>
      </c>
      <c r="AB151" s="30">
        <v>0.375</v>
      </c>
      <c r="AC151" s="30">
        <v>0.375</v>
      </c>
      <c r="AD151" s="30">
        <v>0.375</v>
      </c>
      <c r="AE151" s="30">
        <v>0.375</v>
      </c>
      <c r="AF151" s="30"/>
      <c r="AG151" s="30">
        <v>0.375</v>
      </c>
      <c r="AH151" s="30">
        <v>0.375</v>
      </c>
      <c r="AI151" s="30">
        <v>0.375</v>
      </c>
      <c r="AJ151" s="30">
        <v>0.375</v>
      </c>
      <c r="AK151" s="30"/>
      <c r="AL151" s="30"/>
      <c r="AM151" s="30"/>
      <c r="AN151" s="30"/>
      <c r="AO151" s="30"/>
      <c r="AP151" s="19"/>
    </row>
    <row r="152" spans="1:42">
      <c r="A152" s="25"/>
      <c r="B152" s="26"/>
      <c r="C152" s="62"/>
      <c r="D152" s="28"/>
      <c r="E152" s="28"/>
      <c r="F152" s="28"/>
      <c r="G152" s="28" t="s">
        <v>69</v>
      </c>
      <c r="H152" s="51" t="s">
        <v>76</v>
      </c>
      <c r="I152" s="28" t="s">
        <v>25</v>
      </c>
      <c r="J152" s="29" t="s">
        <v>33</v>
      </c>
      <c r="K152" s="30">
        <v>0.875</v>
      </c>
      <c r="L152" s="30">
        <v>0.875</v>
      </c>
      <c r="M152" s="30">
        <v>0.75</v>
      </c>
      <c r="N152" s="30">
        <v>0.875</v>
      </c>
      <c r="O152" s="30">
        <v>0.875</v>
      </c>
      <c r="P152" s="30">
        <v>0.875</v>
      </c>
      <c r="Q152" s="30">
        <v>0.875</v>
      </c>
      <c r="R152" s="30">
        <v>0.875</v>
      </c>
      <c r="S152" s="30">
        <v>0.70833333333333337</v>
      </c>
      <c r="T152" s="30">
        <v>0.75</v>
      </c>
      <c r="U152" s="30">
        <v>0.875</v>
      </c>
      <c r="V152" s="30">
        <v>0.875</v>
      </c>
      <c r="W152" s="30">
        <v>0.875</v>
      </c>
      <c r="X152" s="30">
        <v>0.875</v>
      </c>
      <c r="Y152" s="30">
        <v>0.70833333333333337</v>
      </c>
      <c r="Z152" s="30">
        <v>0.83333333333333337</v>
      </c>
      <c r="AA152" s="30">
        <v>0.75</v>
      </c>
      <c r="AB152" s="30">
        <v>0.875</v>
      </c>
      <c r="AC152" s="30">
        <v>0.875</v>
      </c>
      <c r="AD152" s="30">
        <v>0.85416666666666663</v>
      </c>
      <c r="AE152" s="30">
        <v>0.83333333333333337</v>
      </c>
      <c r="AF152" s="30"/>
      <c r="AG152" s="30">
        <v>0.875</v>
      </c>
      <c r="AH152" s="30">
        <v>0.79166666666666663</v>
      </c>
      <c r="AI152" s="30">
        <v>0.79166666666666663</v>
      </c>
      <c r="AJ152" s="30"/>
      <c r="AK152" s="30"/>
      <c r="AL152" s="30"/>
      <c r="AM152" s="30"/>
      <c r="AN152" s="30"/>
      <c r="AO152" s="30"/>
      <c r="AP152" s="19"/>
    </row>
    <row r="153" spans="1:42">
      <c r="A153" s="31"/>
      <c r="B153" s="32"/>
      <c r="C153" s="47"/>
      <c r="D153" s="32"/>
      <c r="E153" s="32"/>
      <c r="F153" s="32"/>
      <c r="G153" s="32" t="s">
        <v>69</v>
      </c>
      <c r="H153" s="53" t="s">
        <v>76</v>
      </c>
      <c r="I153" s="32" t="s">
        <v>25</v>
      </c>
      <c r="J153" s="34" t="s">
        <v>72</v>
      </c>
      <c r="K153" s="35">
        <f t="shared" ref="K153:AO153" si="37">IF(AND(ISBLANK(K151),ISBLANK(K152)),"A",IFERROR(+MOD(K152-K151,1),0))</f>
        <v>0.5</v>
      </c>
      <c r="L153" s="35">
        <f t="shared" si="37"/>
        <v>0.5</v>
      </c>
      <c r="M153" s="35">
        <f t="shared" si="37"/>
        <v>0.375</v>
      </c>
      <c r="N153" s="35">
        <f t="shared" si="37"/>
        <v>0.50416666666666665</v>
      </c>
      <c r="O153" s="35">
        <f t="shared" si="37"/>
        <v>0.5</v>
      </c>
      <c r="P153" s="35">
        <f t="shared" si="37"/>
        <v>0.50902777777777786</v>
      </c>
      <c r="Q153" s="35">
        <f t="shared" si="37"/>
        <v>0.5</v>
      </c>
      <c r="R153" s="35">
        <f t="shared" si="37"/>
        <v>0.50902777777777786</v>
      </c>
      <c r="S153" s="35">
        <f t="shared" si="37"/>
        <v>0.34027777777777779</v>
      </c>
      <c r="T153" s="35">
        <f t="shared" si="37"/>
        <v>0.41666666666666669</v>
      </c>
      <c r="U153" s="35">
        <f t="shared" si="37"/>
        <v>0.5</v>
      </c>
      <c r="V153" s="35">
        <f t="shared" si="37"/>
        <v>0.5</v>
      </c>
      <c r="W153" s="35">
        <f t="shared" si="37"/>
        <v>0.5</v>
      </c>
      <c r="X153" s="35">
        <f t="shared" si="37"/>
        <v>0.5</v>
      </c>
      <c r="Y153" s="35">
        <f t="shared" si="37"/>
        <v>0.37500000000000006</v>
      </c>
      <c r="Z153" s="35">
        <f t="shared" si="37"/>
        <v>0.45833333333333337</v>
      </c>
      <c r="AA153" s="35">
        <f t="shared" si="37"/>
        <v>0.39583333333333331</v>
      </c>
      <c r="AB153" s="35">
        <f t="shared" si="37"/>
        <v>0.5</v>
      </c>
      <c r="AC153" s="35">
        <f t="shared" si="37"/>
        <v>0.5</v>
      </c>
      <c r="AD153" s="35">
        <f t="shared" si="37"/>
        <v>0.47916666666666663</v>
      </c>
      <c r="AE153" s="35">
        <f t="shared" si="37"/>
        <v>0.45833333333333337</v>
      </c>
      <c r="AF153" s="35" t="str">
        <f t="shared" si="37"/>
        <v>A</v>
      </c>
      <c r="AG153" s="35">
        <f t="shared" si="37"/>
        <v>0.5</v>
      </c>
      <c r="AH153" s="35">
        <f t="shared" si="37"/>
        <v>0.41666666666666663</v>
      </c>
      <c r="AI153" s="35">
        <f t="shared" si="37"/>
        <v>0.41666666666666663</v>
      </c>
      <c r="AJ153" s="35">
        <f t="shared" si="37"/>
        <v>0.625</v>
      </c>
      <c r="AK153" s="35" t="str">
        <f t="shared" si="37"/>
        <v>A</v>
      </c>
      <c r="AL153" s="35" t="str">
        <f t="shared" si="37"/>
        <v>A</v>
      </c>
      <c r="AM153" s="35" t="str">
        <f t="shared" si="37"/>
        <v>A</v>
      </c>
      <c r="AN153" s="35" t="str">
        <f t="shared" si="37"/>
        <v>A</v>
      </c>
      <c r="AO153" s="35" t="str">
        <f t="shared" si="37"/>
        <v>A</v>
      </c>
      <c r="AP153" s="36"/>
    </row>
    <row r="154" spans="1:42">
      <c r="A154" s="25"/>
      <c r="B154" s="26"/>
      <c r="C154" s="62"/>
      <c r="D154" s="28"/>
      <c r="E154" s="28"/>
      <c r="F154" s="28"/>
      <c r="G154" s="28" t="s">
        <v>69</v>
      </c>
      <c r="H154" s="51" t="s">
        <v>76</v>
      </c>
      <c r="I154" s="28" t="s">
        <v>25</v>
      </c>
      <c r="J154" s="29" t="s">
        <v>13</v>
      </c>
      <c r="K154" s="25" t="s">
        <v>34</v>
      </c>
      <c r="L154" s="25" t="s">
        <v>34</v>
      </c>
      <c r="M154" s="25" t="s">
        <v>34</v>
      </c>
      <c r="N154" s="25" t="s">
        <v>34</v>
      </c>
      <c r="O154" s="25" t="s">
        <v>34</v>
      </c>
      <c r="P154" s="25" t="s">
        <v>34</v>
      </c>
      <c r="Q154" s="25" t="s">
        <v>34</v>
      </c>
      <c r="R154" s="25" t="s">
        <v>34</v>
      </c>
      <c r="S154" s="25" t="s">
        <v>34</v>
      </c>
      <c r="T154" s="25" t="s">
        <v>34</v>
      </c>
      <c r="U154" s="25" t="s">
        <v>34</v>
      </c>
      <c r="V154" s="25" t="s">
        <v>71</v>
      </c>
      <c r="W154" s="25" t="s">
        <v>34</v>
      </c>
      <c r="X154" s="25" t="s">
        <v>34</v>
      </c>
      <c r="Y154" s="25" t="s">
        <v>34</v>
      </c>
      <c r="Z154" s="25" t="s">
        <v>34</v>
      </c>
      <c r="AA154" s="25" t="s">
        <v>71</v>
      </c>
      <c r="AB154" s="25" t="s">
        <v>71</v>
      </c>
      <c r="AC154" s="25" t="s">
        <v>34</v>
      </c>
      <c r="AD154" s="25" t="s">
        <v>34</v>
      </c>
      <c r="AE154" s="25" t="s">
        <v>34</v>
      </c>
      <c r="AF154" s="25" t="s">
        <v>34</v>
      </c>
      <c r="AG154" s="25" t="s">
        <v>34</v>
      </c>
      <c r="AH154" s="25" t="s">
        <v>34</v>
      </c>
      <c r="AI154" s="25" t="s">
        <v>34</v>
      </c>
      <c r="AJ154" s="25" t="s">
        <v>34</v>
      </c>
      <c r="AK154" s="25"/>
      <c r="AL154" s="25"/>
      <c r="AM154" s="25"/>
      <c r="AN154" s="25"/>
      <c r="AO154" s="25"/>
      <c r="AP154" s="19">
        <f>COUNTIF(K154:AO154,"p")</f>
        <v>23</v>
      </c>
    </row>
    <row r="155" spans="1:42">
      <c r="A155" s="25"/>
      <c r="B155" s="26"/>
      <c r="C155" s="62"/>
      <c r="D155" s="28"/>
      <c r="E155" s="28"/>
      <c r="F155" s="28"/>
      <c r="G155" s="28" t="s">
        <v>69</v>
      </c>
      <c r="H155" s="51" t="s">
        <v>76</v>
      </c>
      <c r="I155" s="28" t="s">
        <v>25</v>
      </c>
      <c r="J155" s="29" t="s">
        <v>32</v>
      </c>
      <c r="K155" s="30">
        <v>0.375</v>
      </c>
      <c r="L155" s="30">
        <v>0.375</v>
      </c>
      <c r="M155" s="30">
        <v>0.375</v>
      </c>
      <c r="N155" s="30">
        <v>0.375</v>
      </c>
      <c r="O155" s="30">
        <v>0.375</v>
      </c>
      <c r="P155" s="30">
        <v>0.375</v>
      </c>
      <c r="Q155" s="30">
        <v>0.375</v>
      </c>
      <c r="R155" s="30">
        <v>0.35416666666666669</v>
      </c>
      <c r="S155" s="30">
        <v>0.33333333333333331</v>
      </c>
      <c r="T155" s="30">
        <v>0.375</v>
      </c>
      <c r="U155" s="30">
        <v>0.36805555555555558</v>
      </c>
      <c r="V155" s="30"/>
      <c r="W155" s="30">
        <v>0.375</v>
      </c>
      <c r="X155" s="30">
        <v>0.375</v>
      </c>
      <c r="Y155" s="30">
        <v>0.33333333333333331</v>
      </c>
      <c r="Z155" s="30">
        <v>0.375</v>
      </c>
      <c r="AA155" s="19"/>
      <c r="AB155" s="30"/>
      <c r="AC155" s="30">
        <v>0.375</v>
      </c>
      <c r="AD155" s="30">
        <v>0.375</v>
      </c>
      <c r="AE155" s="30">
        <v>0.375</v>
      </c>
      <c r="AF155" s="30">
        <v>0.375</v>
      </c>
      <c r="AG155" s="30">
        <v>0.375</v>
      </c>
      <c r="AH155" s="30">
        <v>0.375</v>
      </c>
      <c r="AI155" s="30">
        <v>0.375</v>
      </c>
      <c r="AJ155" s="30">
        <v>0.375</v>
      </c>
      <c r="AK155" s="30"/>
      <c r="AL155" s="30"/>
      <c r="AM155" s="30"/>
      <c r="AN155" s="30"/>
      <c r="AO155" s="30"/>
      <c r="AP155" s="19"/>
    </row>
    <row r="156" spans="1:42">
      <c r="A156" s="25"/>
      <c r="B156" s="26"/>
      <c r="C156" s="62"/>
      <c r="D156" s="28"/>
      <c r="E156" s="28"/>
      <c r="F156" s="28"/>
      <c r="G156" s="28" t="s">
        <v>69</v>
      </c>
      <c r="H156" s="51" t="s">
        <v>76</v>
      </c>
      <c r="I156" s="28" t="s">
        <v>25</v>
      </c>
      <c r="J156" s="29" t="s">
        <v>33</v>
      </c>
      <c r="K156" s="30">
        <v>0.875</v>
      </c>
      <c r="L156" s="30">
        <v>0.875</v>
      </c>
      <c r="M156" s="30">
        <v>0.75</v>
      </c>
      <c r="N156" s="30">
        <v>0.79166666666666663</v>
      </c>
      <c r="O156" s="30">
        <v>0.875</v>
      </c>
      <c r="P156" s="30">
        <v>0.79166666666666663</v>
      </c>
      <c r="Q156" s="30">
        <v>0.875</v>
      </c>
      <c r="R156" s="30">
        <v>0.8125</v>
      </c>
      <c r="S156" s="30">
        <v>0.70833333333333337</v>
      </c>
      <c r="T156" s="30">
        <v>0.75</v>
      </c>
      <c r="U156" s="30">
        <v>0.83333333333333337</v>
      </c>
      <c r="V156" s="30"/>
      <c r="W156" s="30">
        <v>0.875</v>
      </c>
      <c r="X156" s="30">
        <v>0.875</v>
      </c>
      <c r="Y156" s="30">
        <v>0.70833333333333337</v>
      </c>
      <c r="Z156" s="30">
        <v>0.83333333333333337</v>
      </c>
      <c r="AA156" s="19"/>
      <c r="AB156" s="30"/>
      <c r="AC156" s="30">
        <v>0.875</v>
      </c>
      <c r="AD156" s="30">
        <v>0.875</v>
      </c>
      <c r="AE156" s="30">
        <v>0.75</v>
      </c>
      <c r="AF156" s="30">
        <v>0.83333333333333337</v>
      </c>
      <c r="AG156" s="30">
        <v>0.83333333333333337</v>
      </c>
      <c r="AH156" s="30">
        <v>0.75</v>
      </c>
      <c r="AI156" s="30">
        <v>0.79166666666666663</v>
      </c>
      <c r="AJ156" s="30"/>
      <c r="AK156" s="30"/>
      <c r="AL156" s="30"/>
      <c r="AM156" s="30"/>
      <c r="AN156" s="30"/>
      <c r="AO156" s="30"/>
      <c r="AP156" s="19"/>
    </row>
    <row r="157" spans="1:42">
      <c r="A157" s="31"/>
      <c r="B157" s="32"/>
      <c r="C157" s="47"/>
      <c r="D157" s="32"/>
      <c r="E157" s="32"/>
      <c r="F157" s="32"/>
      <c r="G157" s="32" t="s">
        <v>69</v>
      </c>
      <c r="H157" s="53" t="s">
        <v>76</v>
      </c>
      <c r="I157" s="32" t="s">
        <v>25</v>
      </c>
      <c r="J157" s="34" t="s">
        <v>72</v>
      </c>
      <c r="K157" s="35">
        <f t="shared" ref="K157:AO157" si="38">IF(AND(ISBLANK(K155),ISBLANK(K156)),"A",IFERROR(+MOD(K156-K155,1),0))</f>
        <v>0.5</v>
      </c>
      <c r="L157" s="35">
        <f t="shared" si="38"/>
        <v>0.5</v>
      </c>
      <c r="M157" s="35">
        <f t="shared" si="38"/>
        <v>0.375</v>
      </c>
      <c r="N157" s="35">
        <f t="shared" si="38"/>
        <v>0.41666666666666663</v>
      </c>
      <c r="O157" s="35">
        <f t="shared" si="38"/>
        <v>0.5</v>
      </c>
      <c r="P157" s="35">
        <f t="shared" si="38"/>
        <v>0.41666666666666663</v>
      </c>
      <c r="Q157" s="35">
        <f t="shared" si="38"/>
        <v>0.5</v>
      </c>
      <c r="R157" s="35">
        <f t="shared" si="38"/>
        <v>0.45833333333333331</v>
      </c>
      <c r="S157" s="35">
        <f t="shared" si="38"/>
        <v>0.37500000000000006</v>
      </c>
      <c r="T157" s="35">
        <f t="shared" si="38"/>
        <v>0.375</v>
      </c>
      <c r="U157" s="35">
        <f t="shared" si="38"/>
        <v>0.46527777777777779</v>
      </c>
      <c r="V157" s="35" t="str">
        <f t="shared" si="38"/>
        <v>A</v>
      </c>
      <c r="W157" s="35">
        <f t="shared" si="38"/>
        <v>0.5</v>
      </c>
      <c r="X157" s="35">
        <f t="shared" si="38"/>
        <v>0.5</v>
      </c>
      <c r="Y157" s="35">
        <f t="shared" si="38"/>
        <v>0.37500000000000006</v>
      </c>
      <c r="Z157" s="35">
        <f t="shared" si="38"/>
        <v>0.45833333333333337</v>
      </c>
      <c r="AA157" s="35" t="str">
        <f t="shared" si="38"/>
        <v>A</v>
      </c>
      <c r="AB157" s="35" t="str">
        <f t="shared" si="38"/>
        <v>A</v>
      </c>
      <c r="AC157" s="35">
        <f t="shared" si="38"/>
        <v>0.5</v>
      </c>
      <c r="AD157" s="35">
        <f t="shared" si="38"/>
        <v>0.5</v>
      </c>
      <c r="AE157" s="35">
        <f t="shared" si="38"/>
        <v>0.375</v>
      </c>
      <c r="AF157" s="35">
        <f t="shared" si="38"/>
        <v>0.45833333333333337</v>
      </c>
      <c r="AG157" s="35">
        <f t="shared" si="38"/>
        <v>0.45833333333333337</v>
      </c>
      <c r="AH157" s="35">
        <f t="shared" si="38"/>
        <v>0.375</v>
      </c>
      <c r="AI157" s="35">
        <f t="shared" si="38"/>
        <v>0.41666666666666663</v>
      </c>
      <c r="AJ157" s="35">
        <f t="shared" si="38"/>
        <v>0.625</v>
      </c>
      <c r="AK157" s="35" t="str">
        <f t="shared" si="38"/>
        <v>A</v>
      </c>
      <c r="AL157" s="35" t="str">
        <f t="shared" si="38"/>
        <v>A</v>
      </c>
      <c r="AM157" s="35" t="str">
        <f t="shared" si="38"/>
        <v>A</v>
      </c>
      <c r="AN157" s="35" t="str">
        <f t="shared" si="38"/>
        <v>A</v>
      </c>
      <c r="AO157" s="35" t="str">
        <f t="shared" si="38"/>
        <v>A</v>
      </c>
      <c r="AP157" s="36"/>
    </row>
    <row r="158" spans="1:42">
      <c r="A158" s="25"/>
      <c r="B158" s="26"/>
      <c r="C158" s="63"/>
      <c r="D158" s="28"/>
      <c r="E158" s="62"/>
      <c r="F158" s="28"/>
      <c r="G158" s="28" t="s">
        <v>69</v>
      </c>
      <c r="H158" s="51" t="s">
        <v>76</v>
      </c>
      <c r="I158" s="28" t="s">
        <v>25</v>
      </c>
      <c r="J158" s="29" t="s">
        <v>13</v>
      </c>
      <c r="K158" s="25" t="s">
        <v>34</v>
      </c>
      <c r="L158" s="25" t="s">
        <v>34</v>
      </c>
      <c r="M158" s="25" t="s">
        <v>71</v>
      </c>
      <c r="N158" s="25" t="s">
        <v>34</v>
      </c>
      <c r="O158" s="25" t="s">
        <v>34</v>
      </c>
      <c r="P158" s="25" t="s">
        <v>34</v>
      </c>
      <c r="Q158" s="25" t="s">
        <v>34</v>
      </c>
      <c r="R158" s="25" t="s">
        <v>34</v>
      </c>
      <c r="S158" s="25" t="s">
        <v>34</v>
      </c>
      <c r="T158" s="25" t="s">
        <v>34</v>
      </c>
      <c r="U158" s="25" t="s">
        <v>34</v>
      </c>
      <c r="V158" s="25" t="s">
        <v>71</v>
      </c>
      <c r="W158" s="25" t="s">
        <v>34</v>
      </c>
      <c r="X158" s="25" t="s">
        <v>34</v>
      </c>
      <c r="Y158" s="25" t="s">
        <v>34</v>
      </c>
      <c r="Z158" s="25" t="s">
        <v>34</v>
      </c>
      <c r="AA158" s="25" t="s">
        <v>34</v>
      </c>
      <c r="AB158" s="25" t="s">
        <v>71</v>
      </c>
      <c r="AC158" s="25" t="s">
        <v>34</v>
      </c>
      <c r="AD158" s="25" t="s">
        <v>34</v>
      </c>
      <c r="AE158" s="25" t="s">
        <v>34</v>
      </c>
      <c r="AF158" s="25" t="s">
        <v>34</v>
      </c>
      <c r="AG158" s="25" t="s">
        <v>71</v>
      </c>
      <c r="AH158" s="25" t="s">
        <v>34</v>
      </c>
      <c r="AI158" s="25" t="s">
        <v>34</v>
      </c>
      <c r="AJ158" s="25" t="s">
        <v>34</v>
      </c>
      <c r="AK158" s="25"/>
      <c r="AL158" s="25"/>
      <c r="AM158" s="25"/>
      <c r="AN158" s="25"/>
      <c r="AO158" s="25"/>
      <c r="AP158" s="19">
        <f>COUNTIF(K158:AO158,"p")</f>
        <v>22</v>
      </c>
    </row>
    <row r="159" spans="1:42">
      <c r="A159" s="25"/>
      <c r="B159" s="26"/>
      <c r="C159" s="63"/>
      <c r="D159" s="28"/>
      <c r="E159" s="62"/>
      <c r="F159" s="28"/>
      <c r="G159" s="28" t="s">
        <v>69</v>
      </c>
      <c r="H159" s="51" t="s">
        <v>76</v>
      </c>
      <c r="I159" s="28" t="s">
        <v>25</v>
      </c>
      <c r="J159" s="29" t="s">
        <v>32</v>
      </c>
      <c r="K159" s="30">
        <v>0.75694444444444453</v>
      </c>
      <c r="L159" s="30">
        <v>0.78125</v>
      </c>
      <c r="M159" s="19"/>
      <c r="N159" s="30">
        <v>0.77083333333333337</v>
      </c>
      <c r="O159" s="30">
        <v>0.75</v>
      </c>
      <c r="P159" s="30">
        <v>0.75</v>
      </c>
      <c r="Q159" s="30">
        <v>0.79166666666666663</v>
      </c>
      <c r="R159" s="30">
        <v>0.79166666666666663</v>
      </c>
      <c r="S159" s="30">
        <v>0.79166666666666663</v>
      </c>
      <c r="T159" s="30">
        <v>0.78472222222222221</v>
      </c>
      <c r="U159" s="30">
        <v>0.77083333333333337</v>
      </c>
      <c r="V159" s="30"/>
      <c r="W159" s="30">
        <v>0.375</v>
      </c>
      <c r="X159" s="30">
        <v>0.375</v>
      </c>
      <c r="Y159" s="30">
        <v>0.33333333333333331</v>
      </c>
      <c r="Z159" s="30">
        <v>0.36805555555555558</v>
      </c>
      <c r="AA159" s="30">
        <v>0.3576388888888889</v>
      </c>
      <c r="AB159" s="30"/>
      <c r="AC159" s="30">
        <v>0.37152777777777773</v>
      </c>
      <c r="AD159" s="30">
        <v>0.375</v>
      </c>
      <c r="AE159" s="30">
        <v>0.375</v>
      </c>
      <c r="AF159" s="30">
        <v>0.41666666666666669</v>
      </c>
      <c r="AG159" s="30" t="s">
        <v>71</v>
      </c>
      <c r="AH159" s="30">
        <v>0.375</v>
      </c>
      <c r="AI159" s="30">
        <v>0.40277777777777773</v>
      </c>
      <c r="AJ159" s="30">
        <v>0.375</v>
      </c>
      <c r="AK159" s="30"/>
      <c r="AL159" s="30"/>
      <c r="AM159" s="30"/>
      <c r="AN159" s="30"/>
      <c r="AO159" s="30"/>
      <c r="AP159" s="19"/>
    </row>
    <row r="160" spans="1:42">
      <c r="A160" s="25"/>
      <c r="B160" s="26"/>
      <c r="C160" s="63"/>
      <c r="D160" s="28"/>
      <c r="E160" s="62"/>
      <c r="F160" s="28"/>
      <c r="G160" s="28" t="s">
        <v>69</v>
      </c>
      <c r="H160" s="51" t="s">
        <v>76</v>
      </c>
      <c r="I160" s="28" t="s">
        <v>25</v>
      </c>
      <c r="J160" s="29" t="s">
        <v>33</v>
      </c>
      <c r="K160" s="30">
        <v>0.18055555555555555</v>
      </c>
      <c r="L160" s="30">
        <v>0.17361111111111113</v>
      </c>
      <c r="M160" s="19"/>
      <c r="N160" s="30">
        <v>0.17013888888888887</v>
      </c>
      <c r="O160" s="30">
        <v>0.17361111111111113</v>
      </c>
      <c r="P160" s="30">
        <v>0.16666666666666666</v>
      </c>
      <c r="Q160" s="30">
        <v>0.17013888888888887</v>
      </c>
      <c r="R160" s="30">
        <v>0.16666666666666666</v>
      </c>
      <c r="S160" s="30">
        <v>0.16666666666666666</v>
      </c>
      <c r="T160" s="30">
        <v>0.16666666666666666</v>
      </c>
      <c r="U160" s="30">
        <v>0.17013888888888887</v>
      </c>
      <c r="V160" s="30"/>
      <c r="W160" s="30">
        <v>0.76041666666666663</v>
      </c>
      <c r="X160" s="30">
        <v>0.75</v>
      </c>
      <c r="Y160" s="30">
        <v>0.6875</v>
      </c>
      <c r="Z160" s="30">
        <v>0.76041666666666663</v>
      </c>
      <c r="AA160" s="30">
        <v>0.75</v>
      </c>
      <c r="AB160" s="30"/>
      <c r="AC160" s="30">
        <v>0.75694444444444453</v>
      </c>
      <c r="AD160" s="30">
        <v>0.84722222222222221</v>
      </c>
      <c r="AE160" s="30">
        <v>0.84722222222222221</v>
      </c>
      <c r="AF160" s="30">
        <v>0.86458333333333337</v>
      </c>
      <c r="AG160" s="30" t="s">
        <v>71</v>
      </c>
      <c r="AH160" s="30">
        <v>0.79166666666666663</v>
      </c>
      <c r="AI160" s="30">
        <v>0.80902777777777779</v>
      </c>
      <c r="AJ160" s="30"/>
      <c r="AK160" s="30"/>
      <c r="AL160" s="30"/>
      <c r="AM160" s="30"/>
      <c r="AN160" s="30"/>
      <c r="AO160" s="30"/>
      <c r="AP160" s="19"/>
    </row>
    <row r="161" spans="1:42">
      <c r="A161" s="31"/>
      <c r="B161" s="32"/>
      <c r="C161" s="47"/>
      <c r="D161" s="32"/>
      <c r="E161" s="47"/>
      <c r="F161" s="32"/>
      <c r="G161" s="32" t="s">
        <v>69</v>
      </c>
      <c r="H161" s="53" t="s">
        <v>76</v>
      </c>
      <c r="I161" s="32" t="s">
        <v>25</v>
      </c>
      <c r="J161" s="34" t="s">
        <v>72</v>
      </c>
      <c r="K161" s="35">
        <f t="shared" ref="K161:AO161" si="39">IF(AND(ISBLANK(K159),ISBLANK(K160)),"A",IFERROR(+MOD(K160-K159,1),0))</f>
        <v>0.42361111111111105</v>
      </c>
      <c r="L161" s="35">
        <f t="shared" si="39"/>
        <v>0.39236111111111116</v>
      </c>
      <c r="M161" s="35" t="str">
        <f t="shared" si="39"/>
        <v>A</v>
      </c>
      <c r="N161" s="35">
        <f t="shared" si="39"/>
        <v>0.39930555555555547</v>
      </c>
      <c r="O161" s="35">
        <f t="shared" si="39"/>
        <v>0.42361111111111116</v>
      </c>
      <c r="P161" s="35">
        <f t="shared" si="39"/>
        <v>0.41666666666666663</v>
      </c>
      <c r="Q161" s="35">
        <f t="shared" si="39"/>
        <v>0.37847222222222221</v>
      </c>
      <c r="R161" s="35">
        <f t="shared" si="39"/>
        <v>0.375</v>
      </c>
      <c r="S161" s="35">
        <f t="shared" si="39"/>
        <v>0.375</v>
      </c>
      <c r="T161" s="35">
        <f t="shared" si="39"/>
        <v>0.38194444444444442</v>
      </c>
      <c r="U161" s="35">
        <f t="shared" si="39"/>
        <v>0.39930555555555547</v>
      </c>
      <c r="V161" s="35" t="str">
        <f t="shared" si="39"/>
        <v>A</v>
      </c>
      <c r="W161" s="35">
        <f t="shared" si="39"/>
        <v>0.38541666666666663</v>
      </c>
      <c r="X161" s="35">
        <f t="shared" si="39"/>
        <v>0.375</v>
      </c>
      <c r="Y161" s="35">
        <f t="shared" si="39"/>
        <v>0.35416666666666669</v>
      </c>
      <c r="Z161" s="35">
        <f t="shared" si="39"/>
        <v>0.39236111111111105</v>
      </c>
      <c r="AA161" s="35">
        <f t="shared" si="39"/>
        <v>0.3923611111111111</v>
      </c>
      <c r="AB161" s="35" t="str">
        <f t="shared" si="39"/>
        <v>A</v>
      </c>
      <c r="AC161" s="35">
        <f t="shared" si="39"/>
        <v>0.3854166666666668</v>
      </c>
      <c r="AD161" s="35">
        <f t="shared" si="39"/>
        <v>0.47222222222222221</v>
      </c>
      <c r="AE161" s="35">
        <f t="shared" si="39"/>
        <v>0.47222222222222221</v>
      </c>
      <c r="AF161" s="35">
        <f t="shared" si="39"/>
        <v>0.44791666666666669</v>
      </c>
      <c r="AG161" s="35" t="s">
        <v>71</v>
      </c>
      <c r="AH161" s="35">
        <f t="shared" si="39"/>
        <v>0.41666666666666663</v>
      </c>
      <c r="AI161" s="35">
        <f t="shared" si="39"/>
        <v>0.40625000000000006</v>
      </c>
      <c r="AJ161" s="35">
        <f t="shared" si="39"/>
        <v>0.625</v>
      </c>
      <c r="AK161" s="35" t="str">
        <f t="shared" si="39"/>
        <v>A</v>
      </c>
      <c r="AL161" s="35" t="str">
        <f t="shared" si="39"/>
        <v>A</v>
      </c>
      <c r="AM161" s="35" t="str">
        <f t="shared" si="39"/>
        <v>A</v>
      </c>
      <c r="AN161" s="35" t="str">
        <f t="shared" si="39"/>
        <v>A</v>
      </c>
      <c r="AO161" s="35" t="str">
        <f t="shared" si="39"/>
        <v>A</v>
      </c>
      <c r="AP161" s="36"/>
    </row>
    <row r="162" spans="1:42">
      <c r="A162" s="25"/>
      <c r="B162" s="26"/>
      <c r="C162" s="62"/>
      <c r="D162" s="28"/>
      <c r="E162" s="62"/>
      <c r="F162" s="28"/>
      <c r="G162" s="28" t="s">
        <v>69</v>
      </c>
      <c r="H162" s="51" t="s">
        <v>76</v>
      </c>
      <c r="I162" s="28" t="s">
        <v>25</v>
      </c>
      <c r="J162" s="29" t="s">
        <v>13</v>
      </c>
      <c r="K162" s="25" t="s">
        <v>34</v>
      </c>
      <c r="L162" s="25" t="s">
        <v>34</v>
      </c>
      <c r="M162" s="25" t="s">
        <v>34</v>
      </c>
      <c r="N162" s="25" t="s">
        <v>34</v>
      </c>
      <c r="O162" s="25" t="s">
        <v>34</v>
      </c>
      <c r="P162" s="25" t="s">
        <v>34</v>
      </c>
      <c r="Q162" s="25" t="s">
        <v>34</v>
      </c>
      <c r="R162" s="25" t="s">
        <v>34</v>
      </c>
      <c r="S162" s="25" t="s">
        <v>71</v>
      </c>
      <c r="T162" s="25" t="s">
        <v>34</v>
      </c>
      <c r="U162" s="25" t="s">
        <v>34</v>
      </c>
      <c r="V162" s="25" t="s">
        <v>34</v>
      </c>
      <c r="W162" s="25" t="s">
        <v>34</v>
      </c>
      <c r="X162" s="25" t="s">
        <v>34</v>
      </c>
      <c r="Y162" s="25" t="s">
        <v>34</v>
      </c>
      <c r="Z162" s="25" t="s">
        <v>34</v>
      </c>
      <c r="AA162" s="25" t="s">
        <v>71</v>
      </c>
      <c r="AB162" s="25" t="s">
        <v>34</v>
      </c>
      <c r="AC162" s="25" t="s">
        <v>34</v>
      </c>
      <c r="AD162" s="25" t="s">
        <v>34</v>
      </c>
      <c r="AE162" s="25" t="s">
        <v>34</v>
      </c>
      <c r="AF162" s="25" t="s">
        <v>34</v>
      </c>
      <c r="AG162" s="25" t="s">
        <v>34</v>
      </c>
      <c r="AH162" s="25" t="s">
        <v>34</v>
      </c>
      <c r="AI162" s="25" t="s">
        <v>34</v>
      </c>
      <c r="AJ162" s="25" t="s">
        <v>34</v>
      </c>
      <c r="AK162" s="25"/>
      <c r="AL162" s="25"/>
      <c r="AM162" s="25"/>
      <c r="AN162" s="25"/>
      <c r="AO162" s="25"/>
      <c r="AP162" s="19">
        <f>COUNTIF(K162:AO162,"p")</f>
        <v>24</v>
      </c>
    </row>
    <row r="163" spans="1:42">
      <c r="A163" s="25"/>
      <c r="B163" s="26"/>
      <c r="C163" s="62"/>
      <c r="D163" s="28"/>
      <c r="E163" s="62"/>
      <c r="F163" s="28"/>
      <c r="G163" s="28" t="s">
        <v>69</v>
      </c>
      <c r="H163" s="51" t="s">
        <v>76</v>
      </c>
      <c r="I163" s="28" t="s">
        <v>25</v>
      </c>
      <c r="J163" s="29" t="s">
        <v>32</v>
      </c>
      <c r="K163" s="30">
        <v>0.375</v>
      </c>
      <c r="L163" s="30">
        <v>0.375</v>
      </c>
      <c r="M163" s="30">
        <v>0.375</v>
      </c>
      <c r="N163" s="30">
        <v>0.375</v>
      </c>
      <c r="O163" s="30">
        <v>0.375</v>
      </c>
      <c r="P163" s="30">
        <v>0.375</v>
      </c>
      <c r="Q163" s="30">
        <v>0.375</v>
      </c>
      <c r="R163" s="30">
        <v>0.375</v>
      </c>
      <c r="S163" s="30"/>
      <c r="T163" s="30">
        <v>0.375</v>
      </c>
      <c r="U163" s="30">
        <v>0.375</v>
      </c>
      <c r="V163" s="30">
        <v>0.375</v>
      </c>
      <c r="W163" s="30">
        <v>0.375</v>
      </c>
      <c r="X163" s="30">
        <v>0.375</v>
      </c>
      <c r="Y163" s="30">
        <v>0.33333333333333331</v>
      </c>
      <c r="Z163" s="30">
        <v>0.375</v>
      </c>
      <c r="AA163" s="30"/>
      <c r="AB163" s="30">
        <v>0.375</v>
      </c>
      <c r="AC163" s="30">
        <v>0.375</v>
      </c>
      <c r="AD163" s="30">
        <v>0.375</v>
      </c>
      <c r="AE163" s="30">
        <v>0.375</v>
      </c>
      <c r="AF163" s="30">
        <v>0.375</v>
      </c>
      <c r="AG163" s="30">
        <v>0.375</v>
      </c>
      <c r="AH163" s="30">
        <v>0.375</v>
      </c>
      <c r="AI163" s="30">
        <v>0.375</v>
      </c>
      <c r="AJ163" s="30">
        <v>0.375</v>
      </c>
      <c r="AK163" s="30"/>
      <c r="AL163" s="30"/>
      <c r="AM163" s="30"/>
      <c r="AN163" s="30"/>
      <c r="AO163" s="19"/>
      <c r="AP163" s="19"/>
    </row>
    <row r="164" spans="1:42">
      <c r="A164" s="25"/>
      <c r="B164" s="26"/>
      <c r="C164" s="62"/>
      <c r="D164" s="28"/>
      <c r="E164" s="62"/>
      <c r="F164" s="28"/>
      <c r="G164" s="28" t="s">
        <v>69</v>
      </c>
      <c r="H164" s="51" t="s">
        <v>76</v>
      </c>
      <c r="I164" s="28" t="s">
        <v>25</v>
      </c>
      <c r="J164" s="29" t="s">
        <v>33</v>
      </c>
      <c r="K164" s="30">
        <v>0.875</v>
      </c>
      <c r="L164" s="30">
        <v>0.875</v>
      </c>
      <c r="M164" s="30">
        <v>0.75</v>
      </c>
      <c r="N164" s="30">
        <v>0.79166666666666663</v>
      </c>
      <c r="O164" s="30">
        <v>0.875</v>
      </c>
      <c r="P164" s="30">
        <v>0.79166666666666663</v>
      </c>
      <c r="Q164" s="30">
        <v>0.875</v>
      </c>
      <c r="R164" s="30">
        <v>0.8125</v>
      </c>
      <c r="S164" s="30"/>
      <c r="T164" s="30">
        <v>0.75</v>
      </c>
      <c r="U164" s="30">
        <v>0.83333333333333337</v>
      </c>
      <c r="V164" s="30">
        <v>0.875</v>
      </c>
      <c r="W164" s="30">
        <v>0.875</v>
      </c>
      <c r="X164" s="30">
        <v>0.875</v>
      </c>
      <c r="Y164" s="30">
        <v>0.70833333333333337</v>
      </c>
      <c r="Z164" s="30">
        <v>0.83333333333333337</v>
      </c>
      <c r="AA164" s="30"/>
      <c r="AB164" s="30">
        <v>0.875</v>
      </c>
      <c r="AC164" s="30">
        <v>0.85416666666666663</v>
      </c>
      <c r="AD164" s="30">
        <v>0.85416666666666663</v>
      </c>
      <c r="AE164" s="30">
        <v>0.83333333333333337</v>
      </c>
      <c r="AF164" s="30">
        <v>0.83333333333333337</v>
      </c>
      <c r="AG164" s="30">
        <v>0.875</v>
      </c>
      <c r="AH164" s="30">
        <v>0.75</v>
      </c>
      <c r="AI164" s="30">
        <v>0.75</v>
      </c>
      <c r="AJ164" s="30"/>
      <c r="AK164" s="30"/>
      <c r="AL164" s="30"/>
      <c r="AM164" s="30"/>
      <c r="AN164" s="30"/>
      <c r="AO164" s="19"/>
      <c r="AP164" s="19"/>
    </row>
    <row r="165" spans="1:42">
      <c r="A165" s="31"/>
      <c r="B165" s="32"/>
      <c r="C165" s="47"/>
      <c r="D165" s="32"/>
      <c r="E165" s="47"/>
      <c r="F165" s="32"/>
      <c r="G165" s="32" t="s">
        <v>69</v>
      </c>
      <c r="H165" s="53" t="s">
        <v>76</v>
      </c>
      <c r="I165" s="32" t="s">
        <v>25</v>
      </c>
      <c r="J165" s="34" t="s">
        <v>72</v>
      </c>
      <c r="K165" s="35">
        <f t="shared" ref="K165:AO165" si="40">IF(AND(ISBLANK(K163),ISBLANK(K164)),"A",IFERROR(+MOD(K164-K163,1),0))</f>
        <v>0.5</v>
      </c>
      <c r="L165" s="35">
        <f t="shared" si="40"/>
        <v>0.5</v>
      </c>
      <c r="M165" s="35">
        <f t="shared" si="40"/>
        <v>0.375</v>
      </c>
      <c r="N165" s="35">
        <f t="shared" si="40"/>
        <v>0.41666666666666663</v>
      </c>
      <c r="O165" s="35">
        <f t="shared" si="40"/>
        <v>0.5</v>
      </c>
      <c r="P165" s="35">
        <f t="shared" si="40"/>
        <v>0.41666666666666663</v>
      </c>
      <c r="Q165" s="35">
        <f t="shared" si="40"/>
        <v>0.5</v>
      </c>
      <c r="R165" s="35">
        <f t="shared" si="40"/>
        <v>0.4375</v>
      </c>
      <c r="S165" s="35" t="str">
        <f t="shared" si="40"/>
        <v>A</v>
      </c>
      <c r="T165" s="35">
        <f t="shared" si="40"/>
        <v>0.375</v>
      </c>
      <c r="U165" s="35">
        <f t="shared" si="40"/>
        <v>0.45833333333333337</v>
      </c>
      <c r="V165" s="35">
        <f t="shared" si="40"/>
        <v>0.5</v>
      </c>
      <c r="W165" s="35">
        <f t="shared" si="40"/>
        <v>0.5</v>
      </c>
      <c r="X165" s="35">
        <f t="shared" si="40"/>
        <v>0.5</v>
      </c>
      <c r="Y165" s="35">
        <f t="shared" si="40"/>
        <v>0.37500000000000006</v>
      </c>
      <c r="Z165" s="35">
        <f t="shared" si="40"/>
        <v>0.45833333333333337</v>
      </c>
      <c r="AA165" s="35" t="str">
        <f t="shared" si="40"/>
        <v>A</v>
      </c>
      <c r="AB165" s="35">
        <f t="shared" si="40"/>
        <v>0.5</v>
      </c>
      <c r="AC165" s="35">
        <f t="shared" si="40"/>
        <v>0.47916666666666663</v>
      </c>
      <c r="AD165" s="35">
        <f t="shared" si="40"/>
        <v>0.47916666666666663</v>
      </c>
      <c r="AE165" s="35">
        <f t="shared" si="40"/>
        <v>0.45833333333333337</v>
      </c>
      <c r="AF165" s="35">
        <f t="shared" si="40"/>
        <v>0.45833333333333337</v>
      </c>
      <c r="AG165" s="35">
        <f t="shared" si="40"/>
        <v>0.5</v>
      </c>
      <c r="AH165" s="35">
        <f t="shared" si="40"/>
        <v>0.375</v>
      </c>
      <c r="AI165" s="35">
        <f t="shared" si="40"/>
        <v>0.375</v>
      </c>
      <c r="AJ165" s="35">
        <f t="shared" si="40"/>
        <v>0.625</v>
      </c>
      <c r="AK165" s="35" t="str">
        <f t="shared" si="40"/>
        <v>A</v>
      </c>
      <c r="AL165" s="35" t="str">
        <f t="shared" si="40"/>
        <v>A</v>
      </c>
      <c r="AM165" s="35" t="str">
        <f t="shared" si="40"/>
        <v>A</v>
      </c>
      <c r="AN165" s="35" t="str">
        <f t="shared" si="40"/>
        <v>A</v>
      </c>
      <c r="AO165" s="35" t="str">
        <f t="shared" si="40"/>
        <v>A</v>
      </c>
      <c r="AP165" s="36"/>
    </row>
    <row r="166" spans="1:42">
      <c r="A166" s="25"/>
      <c r="B166" s="26"/>
      <c r="C166" s="39"/>
      <c r="D166" s="28"/>
      <c r="E166" s="28"/>
      <c r="F166" s="28"/>
      <c r="G166" s="28" t="s">
        <v>74</v>
      </c>
      <c r="H166" s="51" t="s">
        <v>76</v>
      </c>
      <c r="I166" s="28" t="s">
        <v>25</v>
      </c>
      <c r="J166" s="29" t="s">
        <v>13</v>
      </c>
      <c r="K166" s="25" t="s">
        <v>71</v>
      </c>
      <c r="L166" s="25" t="s">
        <v>34</v>
      </c>
      <c r="M166" s="25" t="s">
        <v>34</v>
      </c>
      <c r="N166" s="25" t="s">
        <v>34</v>
      </c>
      <c r="O166" s="25" t="s">
        <v>34</v>
      </c>
      <c r="P166" s="25" t="s">
        <v>34</v>
      </c>
      <c r="Q166" s="25" t="s">
        <v>34</v>
      </c>
      <c r="R166" s="25" t="s">
        <v>34</v>
      </c>
      <c r="S166" s="25" t="s">
        <v>47</v>
      </c>
      <c r="T166" s="25" t="s">
        <v>34</v>
      </c>
      <c r="U166" s="25" t="s">
        <v>34</v>
      </c>
      <c r="V166" s="25" t="s">
        <v>34</v>
      </c>
      <c r="W166" s="25" t="s">
        <v>34</v>
      </c>
      <c r="X166" s="25" t="s">
        <v>34</v>
      </c>
      <c r="Y166" s="25" t="s">
        <v>47</v>
      </c>
      <c r="Z166" s="25" t="s">
        <v>34</v>
      </c>
      <c r="AA166" s="25" t="s">
        <v>34</v>
      </c>
      <c r="AB166" s="25" t="s">
        <v>34</v>
      </c>
      <c r="AC166" s="25" t="s">
        <v>34</v>
      </c>
      <c r="AD166" s="25" t="s">
        <v>71</v>
      </c>
      <c r="AE166" s="25" t="s">
        <v>34</v>
      </c>
      <c r="AF166" s="25" t="s">
        <v>34</v>
      </c>
      <c r="AG166" s="25" t="s">
        <v>34</v>
      </c>
      <c r="AH166" s="25" t="s">
        <v>34</v>
      </c>
      <c r="AI166" s="25" t="s">
        <v>34</v>
      </c>
      <c r="AJ166" s="25" t="s">
        <v>71</v>
      </c>
      <c r="AK166" s="25"/>
      <c r="AL166" s="25"/>
      <c r="AM166" s="25"/>
      <c r="AN166" s="25"/>
      <c r="AO166" s="25"/>
      <c r="AP166" s="19">
        <f>COUNTIF(K166:AO166,"p")</f>
        <v>21</v>
      </c>
    </row>
    <row r="167" spans="1:42">
      <c r="A167" s="25"/>
      <c r="B167" s="26"/>
      <c r="C167" s="39"/>
      <c r="D167" s="28"/>
      <c r="E167" s="28"/>
      <c r="F167" s="28"/>
      <c r="G167" s="28" t="s">
        <v>74</v>
      </c>
      <c r="H167" s="51" t="s">
        <v>76</v>
      </c>
      <c r="I167" s="28" t="s">
        <v>25</v>
      </c>
      <c r="J167" s="29" t="s">
        <v>32</v>
      </c>
      <c r="K167" s="19"/>
      <c r="L167" s="30">
        <v>0.375</v>
      </c>
      <c r="M167" s="30">
        <v>0.375</v>
      </c>
      <c r="N167" s="30">
        <v>0.375</v>
      </c>
      <c r="O167" s="30">
        <v>0.375</v>
      </c>
      <c r="P167" s="30">
        <v>0.375</v>
      </c>
      <c r="Q167" s="30">
        <v>0.375</v>
      </c>
      <c r="R167" s="30">
        <v>0.37361111111111112</v>
      </c>
      <c r="S167" s="19"/>
      <c r="T167" s="30">
        <v>0.375</v>
      </c>
      <c r="U167" s="30">
        <v>0.375</v>
      </c>
      <c r="V167" s="30">
        <v>0.375</v>
      </c>
      <c r="W167" s="30">
        <v>0.375</v>
      </c>
      <c r="X167" s="30">
        <v>0.375</v>
      </c>
      <c r="Y167" s="19"/>
      <c r="Z167" s="30">
        <v>0.375</v>
      </c>
      <c r="AA167" s="30">
        <v>0.375</v>
      </c>
      <c r="AB167" s="30">
        <v>0.375</v>
      </c>
      <c r="AC167" s="30">
        <v>0.375</v>
      </c>
      <c r="AD167" s="30"/>
      <c r="AE167" s="30">
        <v>0.375</v>
      </c>
      <c r="AF167" s="30">
        <v>0.375</v>
      </c>
      <c r="AG167" s="30">
        <v>0.375</v>
      </c>
      <c r="AH167" s="30">
        <v>0.375</v>
      </c>
      <c r="AI167" s="30">
        <v>0.375</v>
      </c>
      <c r="AJ167" s="30" t="s">
        <v>71</v>
      </c>
      <c r="AK167" s="30"/>
      <c r="AL167" s="30"/>
      <c r="AM167" s="30"/>
      <c r="AN167" s="19"/>
      <c r="AO167" s="19"/>
      <c r="AP167" s="19"/>
    </row>
    <row r="168" spans="1:42">
      <c r="A168" s="25"/>
      <c r="B168" s="26"/>
      <c r="C168" s="39"/>
      <c r="D168" s="28"/>
      <c r="E168" s="28"/>
      <c r="F168" s="28"/>
      <c r="G168" s="28" t="s">
        <v>74</v>
      </c>
      <c r="H168" s="51" t="s">
        <v>76</v>
      </c>
      <c r="I168" s="28" t="s">
        <v>25</v>
      </c>
      <c r="J168" s="29" t="s">
        <v>33</v>
      </c>
      <c r="K168" s="19"/>
      <c r="L168" s="30">
        <v>0.75</v>
      </c>
      <c r="M168" s="30">
        <v>0.75</v>
      </c>
      <c r="N168" s="30">
        <v>0.75</v>
      </c>
      <c r="O168" s="30">
        <v>0.75</v>
      </c>
      <c r="P168" s="30">
        <v>0.75</v>
      </c>
      <c r="Q168" s="30">
        <v>0.75</v>
      </c>
      <c r="R168" s="30">
        <v>0.75</v>
      </c>
      <c r="S168" s="19"/>
      <c r="T168" s="30">
        <v>0.75</v>
      </c>
      <c r="U168" s="30">
        <v>0.76041666666666663</v>
      </c>
      <c r="V168" s="30">
        <v>0.75</v>
      </c>
      <c r="W168" s="30">
        <v>0.76041666666666663</v>
      </c>
      <c r="X168" s="30">
        <v>0.75</v>
      </c>
      <c r="Y168" s="19"/>
      <c r="Z168" s="30">
        <v>0.75</v>
      </c>
      <c r="AA168" s="30">
        <v>0.75</v>
      </c>
      <c r="AB168" s="30">
        <v>0.75</v>
      </c>
      <c r="AC168" s="30">
        <v>0.75</v>
      </c>
      <c r="AD168" s="30"/>
      <c r="AE168" s="30">
        <v>0.75</v>
      </c>
      <c r="AF168" s="30">
        <v>0.75</v>
      </c>
      <c r="AG168" s="30">
        <v>0.75</v>
      </c>
      <c r="AH168" s="30">
        <v>0.75</v>
      </c>
      <c r="AI168" s="30">
        <v>0.75</v>
      </c>
      <c r="AJ168" s="30" t="s">
        <v>71</v>
      </c>
      <c r="AK168" s="30"/>
      <c r="AL168" s="30"/>
      <c r="AM168" s="30"/>
      <c r="AN168" s="19"/>
      <c r="AO168" s="19"/>
      <c r="AP168" s="19"/>
    </row>
    <row r="169" spans="1:42">
      <c r="A169" s="31"/>
      <c r="B169" s="32"/>
      <c r="C169" s="47"/>
      <c r="D169" s="32"/>
      <c r="E169" s="32"/>
      <c r="F169" s="32"/>
      <c r="G169" s="32" t="s">
        <v>74</v>
      </c>
      <c r="H169" s="53" t="s">
        <v>76</v>
      </c>
      <c r="I169" s="32" t="s">
        <v>25</v>
      </c>
      <c r="J169" s="34" t="s">
        <v>72</v>
      </c>
      <c r="K169" s="35" t="str">
        <f t="shared" ref="K169:AO169" si="41">IF(AND(ISBLANK(K167),ISBLANK(K168)),"A",IFERROR(+MOD(K168-K167,1),0))</f>
        <v>A</v>
      </c>
      <c r="L169" s="35">
        <f t="shared" si="41"/>
        <v>0.375</v>
      </c>
      <c r="M169" s="35">
        <f t="shared" si="41"/>
        <v>0.375</v>
      </c>
      <c r="N169" s="35">
        <f t="shared" si="41"/>
        <v>0.375</v>
      </c>
      <c r="O169" s="35">
        <f t="shared" si="41"/>
        <v>0.375</v>
      </c>
      <c r="P169" s="35">
        <f t="shared" si="41"/>
        <v>0.375</v>
      </c>
      <c r="Q169" s="35">
        <f t="shared" si="41"/>
        <v>0.375</v>
      </c>
      <c r="R169" s="35">
        <f t="shared" si="41"/>
        <v>0.37638888888888888</v>
      </c>
      <c r="S169" s="35" t="str">
        <f t="shared" si="41"/>
        <v>A</v>
      </c>
      <c r="T169" s="35">
        <f t="shared" si="41"/>
        <v>0.375</v>
      </c>
      <c r="U169" s="35">
        <f t="shared" si="41"/>
        <v>0.38541666666666663</v>
      </c>
      <c r="V169" s="35">
        <f t="shared" si="41"/>
        <v>0.375</v>
      </c>
      <c r="W169" s="35">
        <f t="shared" si="41"/>
        <v>0.38541666666666663</v>
      </c>
      <c r="X169" s="35">
        <f t="shared" si="41"/>
        <v>0.375</v>
      </c>
      <c r="Y169" s="35" t="str">
        <f t="shared" si="41"/>
        <v>A</v>
      </c>
      <c r="Z169" s="35">
        <f t="shared" si="41"/>
        <v>0.375</v>
      </c>
      <c r="AA169" s="35">
        <f t="shared" si="41"/>
        <v>0.375</v>
      </c>
      <c r="AB169" s="35">
        <f t="shared" si="41"/>
        <v>0.375</v>
      </c>
      <c r="AC169" s="35">
        <f t="shared" si="41"/>
        <v>0.375</v>
      </c>
      <c r="AD169" s="35" t="str">
        <f t="shared" si="41"/>
        <v>A</v>
      </c>
      <c r="AE169" s="35">
        <f t="shared" si="41"/>
        <v>0.375</v>
      </c>
      <c r="AF169" s="35">
        <f t="shared" si="41"/>
        <v>0.375</v>
      </c>
      <c r="AG169" s="35">
        <f t="shared" si="41"/>
        <v>0.375</v>
      </c>
      <c r="AH169" s="35">
        <f t="shared" si="41"/>
        <v>0.375</v>
      </c>
      <c r="AI169" s="35">
        <f t="shared" si="41"/>
        <v>0.375</v>
      </c>
      <c r="AJ169" s="35" t="s">
        <v>71</v>
      </c>
      <c r="AK169" s="35" t="str">
        <f t="shared" si="41"/>
        <v>A</v>
      </c>
      <c r="AL169" s="35" t="str">
        <f t="shared" si="41"/>
        <v>A</v>
      </c>
      <c r="AM169" s="35" t="str">
        <f t="shared" si="41"/>
        <v>A</v>
      </c>
      <c r="AN169" s="35" t="str">
        <f t="shared" si="41"/>
        <v>A</v>
      </c>
      <c r="AO169" s="35" t="str">
        <f t="shared" si="41"/>
        <v>A</v>
      </c>
      <c r="AP169" s="36"/>
    </row>
    <row r="170" spans="1:42">
      <c r="A170" s="25"/>
      <c r="B170" s="26"/>
      <c r="C170" s="39"/>
      <c r="D170" s="28"/>
      <c r="E170" s="28"/>
      <c r="F170" s="28"/>
      <c r="G170" s="28" t="s">
        <v>69</v>
      </c>
      <c r="H170" s="51" t="s">
        <v>76</v>
      </c>
      <c r="I170" s="28" t="s">
        <v>25</v>
      </c>
      <c r="J170" s="29" t="s">
        <v>13</v>
      </c>
      <c r="K170" s="25" t="s">
        <v>34</v>
      </c>
      <c r="L170" s="25" t="s">
        <v>34</v>
      </c>
      <c r="M170" s="25" t="s">
        <v>34</v>
      </c>
      <c r="N170" s="25" t="s">
        <v>34</v>
      </c>
      <c r="O170" s="25" t="s">
        <v>34</v>
      </c>
      <c r="P170" s="25" t="s">
        <v>34</v>
      </c>
      <c r="Q170" s="25" t="s">
        <v>34</v>
      </c>
      <c r="R170" s="25" t="s">
        <v>34</v>
      </c>
      <c r="S170" s="25" t="s">
        <v>71</v>
      </c>
      <c r="T170" s="25" t="s">
        <v>34</v>
      </c>
      <c r="U170" s="25" t="s">
        <v>71</v>
      </c>
      <c r="V170" s="25" t="s">
        <v>34</v>
      </c>
      <c r="W170" s="25" t="s">
        <v>34</v>
      </c>
      <c r="X170" s="25" t="s">
        <v>34</v>
      </c>
      <c r="Y170" s="25" t="s">
        <v>47</v>
      </c>
      <c r="Z170" s="25" t="s">
        <v>34</v>
      </c>
      <c r="AA170" s="25" t="s">
        <v>34</v>
      </c>
      <c r="AB170" s="25" t="s">
        <v>34</v>
      </c>
      <c r="AC170" s="25" t="s">
        <v>75</v>
      </c>
      <c r="AD170" s="25" t="s">
        <v>34</v>
      </c>
      <c r="AE170" s="25" t="s">
        <v>34</v>
      </c>
      <c r="AF170" s="25" t="s">
        <v>34</v>
      </c>
      <c r="AG170" s="25" t="s">
        <v>34</v>
      </c>
      <c r="AH170" s="25" t="s">
        <v>34</v>
      </c>
      <c r="AI170" s="25" t="s">
        <v>34</v>
      </c>
      <c r="AJ170" s="25" t="s">
        <v>34</v>
      </c>
      <c r="AK170" s="25"/>
      <c r="AL170" s="25"/>
      <c r="AM170" s="25"/>
      <c r="AN170" s="25"/>
      <c r="AO170" s="25"/>
      <c r="AP170" s="19">
        <f>COUNTIF(K170:AO170,"p")</f>
        <v>22</v>
      </c>
    </row>
    <row r="171" spans="1:42">
      <c r="A171" s="25"/>
      <c r="B171" s="26"/>
      <c r="C171" s="39"/>
      <c r="D171" s="28"/>
      <c r="E171" s="28"/>
      <c r="F171" s="28"/>
      <c r="G171" s="28" t="s">
        <v>69</v>
      </c>
      <c r="H171" s="51" t="s">
        <v>76</v>
      </c>
      <c r="I171" s="28" t="s">
        <v>25</v>
      </c>
      <c r="J171" s="29" t="s">
        <v>32</v>
      </c>
      <c r="K171" s="30">
        <v>0.375</v>
      </c>
      <c r="L171" s="30">
        <v>0.375</v>
      </c>
      <c r="M171" s="30">
        <v>0.375</v>
      </c>
      <c r="N171" s="30">
        <v>0.375</v>
      </c>
      <c r="O171" s="30">
        <v>0.375</v>
      </c>
      <c r="P171" s="30">
        <v>0.375</v>
      </c>
      <c r="Q171" s="30">
        <v>0.3756944444444445</v>
      </c>
      <c r="R171" s="30">
        <v>0.375</v>
      </c>
      <c r="S171" s="19"/>
      <c r="T171" s="30">
        <v>0.375</v>
      </c>
      <c r="U171" s="19"/>
      <c r="V171" s="30">
        <v>0.375</v>
      </c>
      <c r="W171" s="30">
        <v>0.375</v>
      </c>
      <c r="X171" s="30">
        <v>0.375</v>
      </c>
      <c r="Y171" s="19"/>
      <c r="Z171" s="30">
        <v>0.375</v>
      </c>
      <c r="AA171" s="30">
        <v>0.375</v>
      </c>
      <c r="AB171" s="30">
        <v>0.375</v>
      </c>
      <c r="AC171" s="30"/>
      <c r="AD171" s="30">
        <v>0.375</v>
      </c>
      <c r="AE171" s="30">
        <v>0.375</v>
      </c>
      <c r="AF171" s="30">
        <v>0.375</v>
      </c>
      <c r="AG171" s="30">
        <v>0.375</v>
      </c>
      <c r="AH171" s="30">
        <v>0.375</v>
      </c>
      <c r="AI171" s="30">
        <v>0.375</v>
      </c>
      <c r="AJ171" s="30">
        <v>0.375</v>
      </c>
      <c r="AK171" s="30"/>
      <c r="AL171" s="30"/>
      <c r="AM171" s="30"/>
      <c r="AN171" s="19"/>
      <c r="AO171" s="30"/>
      <c r="AP171" s="19"/>
    </row>
    <row r="172" spans="1:42">
      <c r="A172" s="25"/>
      <c r="B172" s="26"/>
      <c r="C172" s="39"/>
      <c r="D172" s="28"/>
      <c r="E172" s="28"/>
      <c r="F172" s="28"/>
      <c r="G172" s="28" t="s">
        <v>69</v>
      </c>
      <c r="H172" s="51" t="s">
        <v>76</v>
      </c>
      <c r="I172" s="28" t="s">
        <v>25</v>
      </c>
      <c r="J172" s="29" t="s">
        <v>33</v>
      </c>
      <c r="K172" s="30">
        <v>0.75</v>
      </c>
      <c r="L172" s="30">
        <v>0.75</v>
      </c>
      <c r="M172" s="30">
        <v>0.75</v>
      </c>
      <c r="N172" s="30">
        <v>0.75</v>
      </c>
      <c r="O172" s="30">
        <v>0.75</v>
      </c>
      <c r="P172" s="30">
        <v>0.75277777777777777</v>
      </c>
      <c r="Q172" s="30">
        <v>0.72569444444444453</v>
      </c>
      <c r="R172" s="30">
        <v>0.75138888888888899</v>
      </c>
      <c r="S172" s="19"/>
      <c r="T172" s="30">
        <v>0.75</v>
      </c>
      <c r="U172" s="19"/>
      <c r="V172" s="30">
        <v>0.75</v>
      </c>
      <c r="W172" s="30">
        <v>0.76041666666666663</v>
      </c>
      <c r="X172" s="30">
        <v>0.75</v>
      </c>
      <c r="Y172" s="19"/>
      <c r="Z172" s="30">
        <v>0.75</v>
      </c>
      <c r="AA172" s="30">
        <v>0.75</v>
      </c>
      <c r="AB172" s="30">
        <v>0.75</v>
      </c>
      <c r="AC172" s="30"/>
      <c r="AD172" s="30">
        <v>0.75</v>
      </c>
      <c r="AE172" s="30">
        <v>0.75</v>
      </c>
      <c r="AF172" s="30">
        <v>0.75</v>
      </c>
      <c r="AG172" s="30">
        <v>0.75</v>
      </c>
      <c r="AH172" s="30">
        <v>0.75</v>
      </c>
      <c r="AI172" s="30">
        <v>0.75</v>
      </c>
      <c r="AJ172" s="30"/>
      <c r="AK172" s="30"/>
      <c r="AL172" s="30"/>
      <c r="AM172" s="30"/>
      <c r="AN172" s="19"/>
      <c r="AO172" s="30"/>
      <c r="AP172" s="19"/>
    </row>
    <row r="173" spans="1:42">
      <c r="A173" s="31"/>
      <c r="B173" s="32"/>
      <c r="C173" s="47"/>
      <c r="D173" s="32"/>
      <c r="E173" s="32"/>
      <c r="F173" s="32"/>
      <c r="G173" s="32" t="s">
        <v>69</v>
      </c>
      <c r="H173" s="53" t="s">
        <v>76</v>
      </c>
      <c r="I173" s="32" t="s">
        <v>25</v>
      </c>
      <c r="J173" s="34" t="s">
        <v>72</v>
      </c>
      <c r="K173" s="35">
        <f t="shared" ref="K173:AO173" si="42">IF(AND(ISBLANK(K171),ISBLANK(K172)),"A",IFERROR(+MOD(K172-K171,1),0))</f>
        <v>0.375</v>
      </c>
      <c r="L173" s="35">
        <f t="shared" si="42"/>
        <v>0.375</v>
      </c>
      <c r="M173" s="35">
        <f t="shared" si="42"/>
        <v>0.375</v>
      </c>
      <c r="N173" s="35">
        <f t="shared" si="42"/>
        <v>0.375</v>
      </c>
      <c r="O173" s="35">
        <f t="shared" si="42"/>
        <v>0.375</v>
      </c>
      <c r="P173" s="35">
        <f t="shared" si="42"/>
        <v>0.37777777777777777</v>
      </c>
      <c r="Q173" s="35">
        <f t="shared" si="42"/>
        <v>0.35000000000000003</v>
      </c>
      <c r="R173" s="35">
        <f t="shared" si="42"/>
        <v>0.37638888888888899</v>
      </c>
      <c r="S173" s="35" t="str">
        <f t="shared" si="42"/>
        <v>A</v>
      </c>
      <c r="T173" s="35">
        <f t="shared" si="42"/>
        <v>0.375</v>
      </c>
      <c r="U173" s="35" t="str">
        <f t="shared" si="42"/>
        <v>A</v>
      </c>
      <c r="V173" s="35">
        <f t="shared" si="42"/>
        <v>0.375</v>
      </c>
      <c r="W173" s="35">
        <f t="shared" si="42"/>
        <v>0.38541666666666663</v>
      </c>
      <c r="X173" s="35">
        <f t="shared" si="42"/>
        <v>0.375</v>
      </c>
      <c r="Y173" s="35" t="str">
        <f t="shared" si="42"/>
        <v>A</v>
      </c>
      <c r="Z173" s="35">
        <f t="shared" si="42"/>
        <v>0.375</v>
      </c>
      <c r="AA173" s="35">
        <f t="shared" si="42"/>
        <v>0.375</v>
      </c>
      <c r="AB173" s="35">
        <f t="shared" si="42"/>
        <v>0.375</v>
      </c>
      <c r="AC173" s="35" t="str">
        <f t="shared" si="42"/>
        <v>A</v>
      </c>
      <c r="AD173" s="35">
        <f t="shared" si="42"/>
        <v>0.375</v>
      </c>
      <c r="AE173" s="35">
        <f t="shared" si="42"/>
        <v>0.375</v>
      </c>
      <c r="AF173" s="35">
        <f t="shared" si="42"/>
        <v>0.375</v>
      </c>
      <c r="AG173" s="35">
        <f t="shared" si="42"/>
        <v>0.375</v>
      </c>
      <c r="AH173" s="35">
        <f t="shared" si="42"/>
        <v>0.375</v>
      </c>
      <c r="AI173" s="35">
        <f t="shared" si="42"/>
        <v>0.375</v>
      </c>
      <c r="AJ173" s="35">
        <f t="shared" si="42"/>
        <v>0.625</v>
      </c>
      <c r="AK173" s="35" t="str">
        <f t="shared" si="42"/>
        <v>A</v>
      </c>
      <c r="AL173" s="35" t="str">
        <f t="shared" si="42"/>
        <v>A</v>
      </c>
      <c r="AM173" s="35" t="str">
        <f t="shared" si="42"/>
        <v>A</v>
      </c>
      <c r="AN173" s="35" t="str">
        <f t="shared" si="42"/>
        <v>A</v>
      </c>
      <c r="AO173" s="35" t="str">
        <f t="shared" si="42"/>
        <v>A</v>
      </c>
      <c r="AP173" s="36"/>
    </row>
    <row r="174" spans="1:42">
      <c r="A174" s="25"/>
      <c r="B174" s="28"/>
      <c r="C174" s="27"/>
      <c r="D174" s="28"/>
      <c r="E174" s="28"/>
      <c r="F174" s="60"/>
      <c r="G174" s="28" t="s">
        <v>74</v>
      </c>
      <c r="H174" s="28" t="s">
        <v>73</v>
      </c>
      <c r="I174" s="28" t="s">
        <v>25</v>
      </c>
      <c r="J174" s="29" t="s">
        <v>13</v>
      </c>
      <c r="K174" s="25" t="s">
        <v>71</v>
      </c>
      <c r="L174" s="25" t="s">
        <v>71</v>
      </c>
      <c r="M174" s="25" t="s">
        <v>71</v>
      </c>
      <c r="N174" s="25" t="s">
        <v>71</v>
      </c>
      <c r="O174" s="25" t="s">
        <v>71</v>
      </c>
      <c r="P174" s="25" t="s">
        <v>71</v>
      </c>
      <c r="Q174" s="25" t="s">
        <v>71</v>
      </c>
      <c r="R174" s="25" t="s">
        <v>71</v>
      </c>
      <c r="S174" s="25" t="s">
        <v>71</v>
      </c>
      <c r="T174" s="25" t="s">
        <v>71</v>
      </c>
      <c r="U174" s="25" t="s">
        <v>34</v>
      </c>
      <c r="V174" s="25" t="s">
        <v>34</v>
      </c>
      <c r="W174" s="25" t="s">
        <v>34</v>
      </c>
      <c r="X174" s="25" t="s">
        <v>71</v>
      </c>
      <c r="Y174" s="25" t="s">
        <v>47</v>
      </c>
      <c r="Z174" s="25" t="s">
        <v>71</v>
      </c>
      <c r="AA174" s="25" t="s">
        <v>71</v>
      </c>
      <c r="AB174" s="25" t="s">
        <v>71</v>
      </c>
      <c r="AC174" s="25" t="s">
        <v>34</v>
      </c>
      <c r="AD174" s="25" t="s">
        <v>34</v>
      </c>
      <c r="AE174" s="25" t="s">
        <v>34</v>
      </c>
      <c r="AF174" s="25" t="s">
        <v>71</v>
      </c>
      <c r="AG174" s="25" t="s">
        <v>71</v>
      </c>
      <c r="AH174" s="25" t="s">
        <v>71</v>
      </c>
      <c r="AI174" s="25" t="s">
        <v>71</v>
      </c>
      <c r="AJ174" s="25" t="s">
        <v>71</v>
      </c>
      <c r="AK174" s="25"/>
      <c r="AL174" s="25"/>
      <c r="AM174" s="25"/>
      <c r="AN174" s="25"/>
      <c r="AO174" s="25"/>
      <c r="AP174" s="19">
        <f>COUNTIF(K174:AO174,"p")</f>
        <v>6</v>
      </c>
    </row>
    <row r="175" spans="1:42">
      <c r="A175" s="25"/>
      <c r="B175" s="28"/>
      <c r="C175" s="27"/>
      <c r="D175" s="28"/>
      <c r="E175" s="28"/>
      <c r="F175" s="60"/>
      <c r="G175" s="28" t="s">
        <v>74</v>
      </c>
      <c r="H175" s="28" t="s">
        <v>73</v>
      </c>
      <c r="I175" s="28" t="s">
        <v>25</v>
      </c>
      <c r="J175" s="29" t="s">
        <v>32</v>
      </c>
      <c r="K175" s="30"/>
      <c r="L175" s="30"/>
      <c r="M175" s="30"/>
      <c r="N175" s="30"/>
      <c r="O175" s="30"/>
      <c r="P175" s="30"/>
      <c r="Q175" s="30"/>
      <c r="R175" s="19"/>
      <c r="S175" s="19"/>
      <c r="T175" s="30"/>
      <c r="U175" s="30">
        <v>0.375</v>
      </c>
      <c r="V175" s="30">
        <v>0.375</v>
      </c>
      <c r="W175" s="30">
        <v>0.375</v>
      </c>
      <c r="X175" s="30"/>
      <c r="Y175" s="30"/>
      <c r="Z175" s="30"/>
      <c r="AA175" s="30"/>
      <c r="AB175" s="30"/>
      <c r="AC175" s="30">
        <v>0.375</v>
      </c>
      <c r="AD175" s="30">
        <v>0.375</v>
      </c>
      <c r="AE175" s="30">
        <v>0.375</v>
      </c>
      <c r="AF175" s="30" t="s">
        <v>71</v>
      </c>
      <c r="AG175" s="30" t="s">
        <v>71</v>
      </c>
      <c r="AH175" s="30" t="s">
        <v>71</v>
      </c>
      <c r="AI175" s="30" t="s">
        <v>71</v>
      </c>
      <c r="AJ175" s="30" t="s">
        <v>71</v>
      </c>
      <c r="AK175" s="30"/>
      <c r="AL175" s="30"/>
      <c r="AM175" s="30"/>
      <c r="AN175" s="19"/>
      <c r="AO175" s="19"/>
      <c r="AP175" s="19"/>
    </row>
    <row r="176" spans="1:42">
      <c r="A176" s="25"/>
      <c r="B176" s="28"/>
      <c r="C176" s="27"/>
      <c r="D176" s="28"/>
      <c r="E176" s="28"/>
      <c r="F176" s="60"/>
      <c r="G176" s="28" t="s">
        <v>74</v>
      </c>
      <c r="H176" s="28" t="s">
        <v>73</v>
      </c>
      <c r="I176" s="28" t="s">
        <v>25</v>
      </c>
      <c r="J176" s="29" t="s">
        <v>33</v>
      </c>
      <c r="K176" s="30"/>
      <c r="L176" s="30"/>
      <c r="M176" s="30"/>
      <c r="N176" s="30"/>
      <c r="O176" s="30"/>
      <c r="P176" s="30"/>
      <c r="Q176" s="30"/>
      <c r="R176" s="19"/>
      <c r="S176" s="19"/>
      <c r="T176" s="30"/>
      <c r="U176" s="30">
        <v>0.75</v>
      </c>
      <c r="V176" s="30">
        <v>0.75902777777777775</v>
      </c>
      <c r="W176" s="30">
        <v>0.75</v>
      </c>
      <c r="X176" s="30"/>
      <c r="Y176" s="30"/>
      <c r="Z176" s="30"/>
      <c r="AA176" s="30"/>
      <c r="AB176" s="30"/>
      <c r="AC176" s="30">
        <v>0.75</v>
      </c>
      <c r="AD176" s="30">
        <v>0.75</v>
      </c>
      <c r="AE176" s="30">
        <v>0.75</v>
      </c>
      <c r="AF176" s="30" t="s">
        <v>71</v>
      </c>
      <c r="AG176" s="30" t="s">
        <v>71</v>
      </c>
      <c r="AH176" s="30" t="s">
        <v>71</v>
      </c>
      <c r="AI176" s="30" t="s">
        <v>71</v>
      </c>
      <c r="AJ176" s="30" t="s">
        <v>71</v>
      </c>
      <c r="AK176" s="30"/>
      <c r="AL176" s="30"/>
      <c r="AM176" s="30"/>
      <c r="AN176" s="19"/>
      <c r="AO176" s="19"/>
      <c r="AP176" s="19"/>
    </row>
    <row r="177" spans="1:42">
      <c r="A177" s="31"/>
      <c r="B177" s="32"/>
      <c r="C177" s="33"/>
      <c r="D177" s="32"/>
      <c r="E177" s="32"/>
      <c r="F177" s="61"/>
      <c r="G177" s="32" t="s">
        <v>74</v>
      </c>
      <c r="H177" s="32" t="s">
        <v>73</v>
      </c>
      <c r="I177" s="32" t="s">
        <v>25</v>
      </c>
      <c r="J177" s="34" t="s">
        <v>72</v>
      </c>
      <c r="K177" s="35" t="str">
        <f t="shared" ref="K177:AO177" si="43">IF(AND(ISBLANK(K175),ISBLANK(K176)),"A",IFERROR(+MOD(K176-K175,1),0))</f>
        <v>A</v>
      </c>
      <c r="L177" s="35" t="str">
        <f t="shared" si="43"/>
        <v>A</v>
      </c>
      <c r="M177" s="35" t="str">
        <f t="shared" si="43"/>
        <v>A</v>
      </c>
      <c r="N177" s="35" t="str">
        <f t="shared" si="43"/>
        <v>A</v>
      </c>
      <c r="O177" s="35" t="str">
        <f t="shared" si="43"/>
        <v>A</v>
      </c>
      <c r="P177" s="35" t="str">
        <f t="shared" si="43"/>
        <v>A</v>
      </c>
      <c r="Q177" s="35" t="str">
        <f t="shared" si="43"/>
        <v>A</v>
      </c>
      <c r="R177" s="35" t="str">
        <f t="shared" si="43"/>
        <v>A</v>
      </c>
      <c r="S177" s="35" t="str">
        <f t="shared" si="43"/>
        <v>A</v>
      </c>
      <c r="T177" s="35" t="str">
        <f t="shared" si="43"/>
        <v>A</v>
      </c>
      <c r="U177" s="35">
        <f t="shared" si="43"/>
        <v>0.375</v>
      </c>
      <c r="V177" s="35">
        <f t="shared" si="43"/>
        <v>0.38402777777777775</v>
      </c>
      <c r="W177" s="35">
        <f t="shared" si="43"/>
        <v>0.375</v>
      </c>
      <c r="X177" s="35" t="str">
        <f t="shared" si="43"/>
        <v>A</v>
      </c>
      <c r="Y177" s="35" t="str">
        <f t="shared" si="43"/>
        <v>A</v>
      </c>
      <c r="Z177" s="35" t="str">
        <f t="shared" si="43"/>
        <v>A</v>
      </c>
      <c r="AA177" s="35" t="str">
        <f t="shared" si="43"/>
        <v>A</v>
      </c>
      <c r="AB177" s="35" t="str">
        <f t="shared" si="43"/>
        <v>A</v>
      </c>
      <c r="AC177" s="35">
        <f t="shared" si="43"/>
        <v>0.375</v>
      </c>
      <c r="AD177" s="35">
        <f t="shared" si="43"/>
        <v>0.375</v>
      </c>
      <c r="AE177" s="35">
        <f t="shared" si="43"/>
        <v>0.375</v>
      </c>
      <c r="AF177" s="35" t="s">
        <v>71</v>
      </c>
      <c r="AG177" s="35" t="s">
        <v>71</v>
      </c>
      <c r="AH177" s="35" t="s">
        <v>71</v>
      </c>
      <c r="AI177" s="35" t="s">
        <v>71</v>
      </c>
      <c r="AJ177" s="35" t="s">
        <v>71</v>
      </c>
      <c r="AK177" s="35" t="str">
        <f t="shared" si="43"/>
        <v>A</v>
      </c>
      <c r="AL177" s="35" t="str">
        <f t="shared" si="43"/>
        <v>A</v>
      </c>
      <c r="AM177" s="35" t="str">
        <f t="shared" si="43"/>
        <v>A</v>
      </c>
      <c r="AN177" s="35" t="str">
        <f t="shared" si="43"/>
        <v>A</v>
      </c>
      <c r="AO177" s="35" t="str">
        <f t="shared" si="43"/>
        <v>A</v>
      </c>
      <c r="AP177" s="36"/>
    </row>
    <row r="178" spans="1:42">
      <c r="A178" s="25"/>
      <c r="B178" s="28"/>
      <c r="C178" s="27"/>
      <c r="D178" s="28"/>
      <c r="E178" s="28"/>
      <c r="F178" s="60"/>
      <c r="G178" s="28" t="s">
        <v>74</v>
      </c>
      <c r="H178" s="28" t="s">
        <v>73</v>
      </c>
      <c r="I178" s="28" t="s">
        <v>77</v>
      </c>
      <c r="J178" s="29" t="s">
        <v>13</v>
      </c>
      <c r="K178" s="25" t="s">
        <v>71</v>
      </c>
      <c r="L178" s="25" t="s">
        <v>71</v>
      </c>
      <c r="M178" s="25" t="s">
        <v>71</v>
      </c>
      <c r="N178" s="25" t="s">
        <v>71</v>
      </c>
      <c r="O178" s="25" t="s">
        <v>71</v>
      </c>
      <c r="P178" s="25" t="s">
        <v>71</v>
      </c>
      <c r="Q178" s="25" t="s">
        <v>71</v>
      </c>
      <c r="R178" s="25" t="s">
        <v>71</v>
      </c>
      <c r="S178" s="25" t="s">
        <v>71</v>
      </c>
      <c r="T178" s="25" t="s">
        <v>71</v>
      </c>
      <c r="U178" s="25" t="s">
        <v>71</v>
      </c>
      <c r="V178" s="25" t="s">
        <v>71</v>
      </c>
      <c r="W178" s="25" t="s">
        <v>34</v>
      </c>
      <c r="X178" s="25" t="s">
        <v>71</v>
      </c>
      <c r="Y178" s="25" t="s">
        <v>71</v>
      </c>
      <c r="Z178" s="25" t="s">
        <v>71</v>
      </c>
      <c r="AA178" s="25" t="s">
        <v>71</v>
      </c>
      <c r="AB178" s="25" t="s">
        <v>71</v>
      </c>
      <c r="AC178" s="25" t="s">
        <v>71</v>
      </c>
      <c r="AD178" s="25" t="s">
        <v>71</v>
      </c>
      <c r="AE178" s="25" t="s">
        <v>71</v>
      </c>
      <c r="AF178" s="25" t="s">
        <v>71</v>
      </c>
      <c r="AG178" s="25" t="s">
        <v>71</v>
      </c>
      <c r="AH178" s="25" t="s">
        <v>71</v>
      </c>
      <c r="AI178" s="25" t="s">
        <v>71</v>
      </c>
      <c r="AJ178" s="25" t="s">
        <v>71</v>
      </c>
      <c r="AK178" s="25" t="s">
        <v>71</v>
      </c>
      <c r="AL178" s="25" t="s">
        <v>71</v>
      </c>
      <c r="AM178" s="25" t="s">
        <v>71</v>
      </c>
      <c r="AN178" s="25" t="s">
        <v>71</v>
      </c>
      <c r="AO178" s="25" t="s">
        <v>71</v>
      </c>
      <c r="AP178" s="19">
        <f>COUNTIF(K178:AO178,"p")</f>
        <v>1</v>
      </c>
    </row>
    <row r="179" spans="1:42">
      <c r="A179" s="25"/>
      <c r="B179" s="28"/>
      <c r="C179" s="27"/>
      <c r="D179" s="28"/>
      <c r="E179" s="28"/>
      <c r="F179" s="60"/>
      <c r="G179" s="28" t="s">
        <v>74</v>
      </c>
      <c r="H179" s="28" t="s">
        <v>73</v>
      </c>
      <c r="I179" s="28" t="s">
        <v>77</v>
      </c>
      <c r="J179" s="29" t="s">
        <v>32</v>
      </c>
      <c r="K179" s="30"/>
      <c r="L179" s="30"/>
      <c r="M179" s="30"/>
      <c r="N179" s="30"/>
      <c r="O179" s="30"/>
      <c r="P179" s="30"/>
      <c r="Q179" s="30"/>
      <c r="R179" s="19"/>
      <c r="S179" s="19"/>
      <c r="T179" s="30"/>
      <c r="U179" s="30"/>
      <c r="V179" s="30"/>
      <c r="W179" s="30">
        <v>0.375</v>
      </c>
      <c r="X179" s="30"/>
      <c r="Y179" s="30"/>
      <c r="Z179" s="30"/>
      <c r="AA179" s="30"/>
      <c r="AB179" s="30"/>
      <c r="AC179" s="30"/>
      <c r="AD179" s="30"/>
      <c r="AE179" s="30"/>
      <c r="AF179" s="25" t="s">
        <v>71</v>
      </c>
      <c r="AG179" s="25" t="s">
        <v>71</v>
      </c>
      <c r="AH179" s="25" t="s">
        <v>71</v>
      </c>
      <c r="AI179" s="25" t="s">
        <v>71</v>
      </c>
      <c r="AJ179" s="25" t="s">
        <v>71</v>
      </c>
      <c r="AK179" s="30"/>
      <c r="AL179" s="30"/>
      <c r="AM179" s="30"/>
      <c r="AN179" s="19"/>
      <c r="AO179" s="19"/>
      <c r="AP179" s="19"/>
    </row>
    <row r="180" spans="1:42">
      <c r="A180" s="25"/>
      <c r="B180" s="28"/>
      <c r="C180" s="27"/>
      <c r="D180" s="28"/>
      <c r="E180" s="28"/>
      <c r="F180" s="60"/>
      <c r="G180" s="28" t="s">
        <v>74</v>
      </c>
      <c r="H180" s="28" t="s">
        <v>73</v>
      </c>
      <c r="I180" s="28" t="s">
        <v>77</v>
      </c>
      <c r="J180" s="29" t="s">
        <v>33</v>
      </c>
      <c r="K180" s="30"/>
      <c r="L180" s="30"/>
      <c r="M180" s="30"/>
      <c r="N180" s="30"/>
      <c r="O180" s="30"/>
      <c r="P180" s="30"/>
      <c r="Q180" s="30"/>
      <c r="R180" s="19"/>
      <c r="S180" s="19"/>
      <c r="T180" s="30"/>
      <c r="U180" s="30"/>
      <c r="V180" s="30"/>
      <c r="W180" s="30">
        <v>0.75</v>
      </c>
      <c r="X180" s="30"/>
      <c r="Y180" s="30"/>
      <c r="Z180" s="30"/>
      <c r="AA180" s="30"/>
      <c r="AB180" s="30"/>
      <c r="AC180" s="30"/>
      <c r="AD180" s="30"/>
      <c r="AE180" s="30"/>
      <c r="AF180" s="25" t="s">
        <v>71</v>
      </c>
      <c r="AG180" s="25" t="s">
        <v>71</v>
      </c>
      <c r="AH180" s="25" t="s">
        <v>71</v>
      </c>
      <c r="AI180" s="25" t="s">
        <v>71</v>
      </c>
      <c r="AJ180" s="25" t="s">
        <v>71</v>
      </c>
      <c r="AK180" s="30"/>
      <c r="AL180" s="30"/>
      <c r="AM180" s="30"/>
      <c r="AN180" s="19"/>
      <c r="AO180" s="19"/>
      <c r="AP180" s="19"/>
    </row>
    <row r="181" spans="1:42">
      <c r="A181" s="31"/>
      <c r="B181" s="32"/>
      <c r="C181" s="33"/>
      <c r="D181" s="32"/>
      <c r="E181" s="32"/>
      <c r="F181" s="61"/>
      <c r="G181" s="32" t="s">
        <v>74</v>
      </c>
      <c r="H181" s="32" t="s">
        <v>73</v>
      </c>
      <c r="I181" s="32" t="s">
        <v>77</v>
      </c>
      <c r="J181" s="34" t="s">
        <v>72</v>
      </c>
      <c r="K181" s="35" t="str">
        <f t="shared" ref="K181:AO181" si="44">IF(AND(ISBLANK(K179),ISBLANK(K180)),"A",IFERROR(+MOD(K180-K179,1),0))</f>
        <v>A</v>
      </c>
      <c r="L181" s="35" t="str">
        <f t="shared" si="44"/>
        <v>A</v>
      </c>
      <c r="M181" s="35" t="str">
        <f t="shared" si="44"/>
        <v>A</v>
      </c>
      <c r="N181" s="35" t="str">
        <f t="shared" si="44"/>
        <v>A</v>
      </c>
      <c r="O181" s="35" t="str">
        <f t="shared" si="44"/>
        <v>A</v>
      </c>
      <c r="P181" s="35" t="str">
        <f t="shared" si="44"/>
        <v>A</v>
      </c>
      <c r="Q181" s="35" t="str">
        <f t="shared" si="44"/>
        <v>A</v>
      </c>
      <c r="R181" s="35" t="str">
        <f t="shared" si="44"/>
        <v>A</v>
      </c>
      <c r="S181" s="35" t="str">
        <f t="shared" si="44"/>
        <v>A</v>
      </c>
      <c r="T181" s="35" t="str">
        <f t="shared" si="44"/>
        <v>A</v>
      </c>
      <c r="U181" s="35" t="str">
        <f t="shared" si="44"/>
        <v>A</v>
      </c>
      <c r="V181" s="35" t="str">
        <f t="shared" si="44"/>
        <v>A</v>
      </c>
      <c r="W181" s="35">
        <f t="shared" si="44"/>
        <v>0.375</v>
      </c>
      <c r="X181" s="35" t="str">
        <f t="shared" si="44"/>
        <v>A</v>
      </c>
      <c r="Y181" s="35" t="str">
        <f t="shared" si="44"/>
        <v>A</v>
      </c>
      <c r="Z181" s="35" t="str">
        <f t="shared" si="44"/>
        <v>A</v>
      </c>
      <c r="AA181" s="35" t="str">
        <f t="shared" si="44"/>
        <v>A</v>
      </c>
      <c r="AB181" s="35" t="str">
        <f t="shared" si="44"/>
        <v>A</v>
      </c>
      <c r="AC181" s="35" t="str">
        <f t="shared" si="44"/>
        <v>A</v>
      </c>
      <c r="AD181" s="35" t="str">
        <f t="shared" si="44"/>
        <v>A</v>
      </c>
      <c r="AE181" s="35" t="str">
        <f t="shared" si="44"/>
        <v>A</v>
      </c>
      <c r="AF181" s="25" t="s">
        <v>71</v>
      </c>
      <c r="AG181" s="25" t="s">
        <v>71</v>
      </c>
      <c r="AH181" s="25" t="s">
        <v>71</v>
      </c>
      <c r="AI181" s="25" t="s">
        <v>71</v>
      </c>
      <c r="AJ181" s="25" t="s">
        <v>71</v>
      </c>
      <c r="AK181" s="35" t="str">
        <f t="shared" si="44"/>
        <v>A</v>
      </c>
      <c r="AL181" s="35" t="str">
        <f t="shared" si="44"/>
        <v>A</v>
      </c>
      <c r="AM181" s="35" t="str">
        <f t="shared" si="44"/>
        <v>A</v>
      </c>
      <c r="AN181" s="35" t="str">
        <f t="shared" si="44"/>
        <v>A</v>
      </c>
      <c r="AO181" s="35" t="str">
        <f t="shared" si="44"/>
        <v>A</v>
      </c>
      <c r="AP181" s="36"/>
    </row>
    <row r="182" spans="1:42">
      <c r="A182" s="25"/>
      <c r="B182" s="26"/>
      <c r="C182" s="39"/>
      <c r="D182" s="28"/>
      <c r="E182" s="28"/>
      <c r="F182" s="28"/>
      <c r="G182" s="28" t="s">
        <v>69</v>
      </c>
      <c r="H182" s="51" t="s">
        <v>70</v>
      </c>
      <c r="I182" s="28" t="s">
        <v>25</v>
      </c>
      <c r="J182" s="29" t="s">
        <v>13</v>
      </c>
      <c r="K182" s="25" t="s">
        <v>71</v>
      </c>
      <c r="L182" s="25" t="s">
        <v>71</v>
      </c>
      <c r="M182" s="25" t="s">
        <v>71</v>
      </c>
      <c r="N182" s="25" t="s">
        <v>71</v>
      </c>
      <c r="O182" s="25" t="s">
        <v>71</v>
      </c>
      <c r="P182" s="25" t="s">
        <v>71</v>
      </c>
      <c r="Q182" s="25" t="s">
        <v>71</v>
      </c>
      <c r="R182" s="25" t="s">
        <v>71</v>
      </c>
      <c r="S182" s="25" t="s">
        <v>71</v>
      </c>
      <c r="T182" s="25" t="s">
        <v>71</v>
      </c>
      <c r="U182" s="25" t="s">
        <v>71</v>
      </c>
      <c r="V182" s="25" t="s">
        <v>71</v>
      </c>
      <c r="W182" s="25" t="s">
        <v>71</v>
      </c>
      <c r="X182" s="25" t="s">
        <v>71</v>
      </c>
      <c r="Y182" s="25" t="s">
        <v>71</v>
      </c>
      <c r="Z182" s="25" t="s">
        <v>71</v>
      </c>
      <c r="AA182" s="25" t="s">
        <v>71</v>
      </c>
      <c r="AB182" s="25" t="s">
        <v>71</v>
      </c>
      <c r="AC182" s="25" t="s">
        <v>34</v>
      </c>
      <c r="AD182" s="25" t="s">
        <v>34</v>
      </c>
      <c r="AE182" s="25" t="s">
        <v>34</v>
      </c>
      <c r="AF182" s="25" t="s">
        <v>34</v>
      </c>
      <c r="AG182" s="25" t="s">
        <v>34</v>
      </c>
      <c r="AH182" s="25" t="s">
        <v>71</v>
      </c>
      <c r="AI182" s="25" t="s">
        <v>71</v>
      </c>
      <c r="AJ182" s="25" t="s">
        <v>71</v>
      </c>
      <c r="AK182" s="25"/>
      <c r="AL182" s="25"/>
      <c r="AM182" s="25"/>
      <c r="AN182" s="25"/>
      <c r="AO182" s="25"/>
      <c r="AP182" s="19">
        <f>COUNTIF(K182:AO182,"p")</f>
        <v>5</v>
      </c>
    </row>
    <row r="183" spans="1:42">
      <c r="A183" s="25"/>
      <c r="B183" s="26"/>
      <c r="C183" s="39"/>
      <c r="D183" s="28"/>
      <c r="E183" s="28"/>
      <c r="F183" s="28"/>
      <c r="G183" s="28" t="s">
        <v>69</v>
      </c>
      <c r="H183" s="51" t="s">
        <v>70</v>
      </c>
      <c r="I183" s="28" t="s">
        <v>25</v>
      </c>
      <c r="J183" s="29" t="s">
        <v>32</v>
      </c>
      <c r="K183" s="19"/>
      <c r="L183" s="30"/>
      <c r="M183" s="30"/>
      <c r="N183" s="30"/>
      <c r="O183" s="19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>
        <v>0.375</v>
      </c>
      <c r="AD183" s="30">
        <v>0.375</v>
      </c>
      <c r="AE183" s="30">
        <v>0.375</v>
      </c>
      <c r="AF183" s="30">
        <v>0.375</v>
      </c>
      <c r="AG183" s="30">
        <v>0.375</v>
      </c>
      <c r="AH183" s="30" t="s">
        <v>71</v>
      </c>
      <c r="AI183" s="30" t="s">
        <v>71</v>
      </c>
      <c r="AJ183" s="30" t="s">
        <v>71</v>
      </c>
      <c r="AK183" s="30"/>
      <c r="AL183" s="30"/>
      <c r="AM183" s="30"/>
      <c r="AN183" s="19"/>
      <c r="AO183" s="30"/>
      <c r="AP183" s="19"/>
    </row>
    <row r="184" spans="1:42">
      <c r="A184" s="25"/>
      <c r="B184" s="26"/>
      <c r="C184" s="39"/>
      <c r="D184" s="28"/>
      <c r="E184" s="28"/>
      <c r="F184" s="28"/>
      <c r="G184" s="28" t="s">
        <v>69</v>
      </c>
      <c r="H184" s="51" t="s">
        <v>70</v>
      </c>
      <c r="I184" s="28" t="s">
        <v>25</v>
      </c>
      <c r="J184" s="29" t="s">
        <v>33</v>
      </c>
      <c r="K184" s="19"/>
      <c r="L184" s="30"/>
      <c r="M184" s="30"/>
      <c r="N184" s="30"/>
      <c r="O184" s="19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>
        <v>0.75</v>
      </c>
      <c r="AD184" s="30">
        <v>0.81944444444444453</v>
      </c>
      <c r="AE184" s="30">
        <v>0.79166666666666663</v>
      </c>
      <c r="AF184" s="30">
        <v>0.83333333333333337</v>
      </c>
      <c r="AG184" s="30">
        <v>0.67708333333333337</v>
      </c>
      <c r="AH184" s="30" t="s">
        <v>71</v>
      </c>
      <c r="AI184" s="30" t="s">
        <v>71</v>
      </c>
      <c r="AJ184" s="30" t="s">
        <v>71</v>
      </c>
      <c r="AK184" s="30"/>
      <c r="AL184" s="30"/>
      <c r="AM184" s="30"/>
      <c r="AN184" s="19"/>
      <c r="AO184" s="30"/>
      <c r="AP184" s="19"/>
    </row>
    <row r="185" spans="1:42">
      <c r="A185" s="31"/>
      <c r="B185" s="32"/>
      <c r="C185" s="47"/>
      <c r="D185" s="32"/>
      <c r="E185" s="32"/>
      <c r="F185" s="32"/>
      <c r="G185" s="32" t="s">
        <v>69</v>
      </c>
      <c r="H185" s="53" t="s">
        <v>70</v>
      </c>
      <c r="I185" s="32" t="s">
        <v>25</v>
      </c>
      <c r="J185" s="34" t="s">
        <v>72</v>
      </c>
      <c r="K185" s="35" t="str">
        <f t="shared" ref="K185:AO185" si="45">IF(AND(ISBLANK(K183),ISBLANK(K184)),"A",IFERROR(+MOD(K184-K183,1),0))</f>
        <v>A</v>
      </c>
      <c r="L185" s="35" t="str">
        <f t="shared" si="45"/>
        <v>A</v>
      </c>
      <c r="M185" s="35" t="str">
        <f t="shared" si="45"/>
        <v>A</v>
      </c>
      <c r="N185" s="35" t="str">
        <f t="shared" si="45"/>
        <v>A</v>
      </c>
      <c r="O185" s="35" t="str">
        <f t="shared" si="45"/>
        <v>A</v>
      </c>
      <c r="P185" s="35" t="str">
        <f t="shared" si="45"/>
        <v>A</v>
      </c>
      <c r="Q185" s="35" t="str">
        <f t="shared" si="45"/>
        <v>A</v>
      </c>
      <c r="R185" s="35" t="str">
        <f t="shared" si="45"/>
        <v>A</v>
      </c>
      <c r="S185" s="35" t="str">
        <f t="shared" si="45"/>
        <v>A</v>
      </c>
      <c r="T185" s="35" t="str">
        <f t="shared" si="45"/>
        <v>A</v>
      </c>
      <c r="U185" s="35" t="str">
        <f t="shared" si="45"/>
        <v>A</v>
      </c>
      <c r="V185" s="35" t="str">
        <f t="shared" si="45"/>
        <v>A</v>
      </c>
      <c r="W185" s="35" t="str">
        <f t="shared" si="45"/>
        <v>A</v>
      </c>
      <c r="X185" s="35" t="str">
        <f t="shared" si="45"/>
        <v>A</v>
      </c>
      <c r="Y185" s="35" t="str">
        <f t="shared" si="45"/>
        <v>A</v>
      </c>
      <c r="Z185" s="35" t="str">
        <f t="shared" si="45"/>
        <v>A</v>
      </c>
      <c r="AA185" s="35" t="str">
        <f t="shared" si="45"/>
        <v>A</v>
      </c>
      <c r="AB185" s="35" t="str">
        <f t="shared" si="45"/>
        <v>A</v>
      </c>
      <c r="AC185" s="35">
        <f t="shared" si="45"/>
        <v>0.375</v>
      </c>
      <c r="AD185" s="35">
        <f t="shared" si="45"/>
        <v>0.44444444444444453</v>
      </c>
      <c r="AE185" s="35">
        <f t="shared" si="45"/>
        <v>0.41666666666666663</v>
      </c>
      <c r="AF185" s="35">
        <f t="shared" si="45"/>
        <v>0.45833333333333337</v>
      </c>
      <c r="AG185" s="35">
        <f t="shared" si="45"/>
        <v>0.30208333333333337</v>
      </c>
      <c r="AH185" s="35" t="s">
        <v>71</v>
      </c>
      <c r="AI185" s="35" t="s">
        <v>71</v>
      </c>
      <c r="AJ185" s="35" t="s">
        <v>71</v>
      </c>
      <c r="AK185" s="35" t="str">
        <f t="shared" si="45"/>
        <v>A</v>
      </c>
      <c r="AL185" s="35" t="str">
        <f t="shared" si="45"/>
        <v>A</v>
      </c>
      <c r="AM185" s="35" t="str">
        <f t="shared" si="45"/>
        <v>A</v>
      </c>
      <c r="AN185" s="35" t="str">
        <f t="shared" si="45"/>
        <v>A</v>
      </c>
      <c r="AO185" s="35" t="str">
        <f t="shared" si="45"/>
        <v>A</v>
      </c>
      <c r="AP185" s="36"/>
    </row>
    <row r="186" spans="1:42">
      <c r="A186" s="25"/>
      <c r="B186" s="26"/>
      <c r="C186" s="39"/>
      <c r="D186" s="28"/>
      <c r="E186" s="28"/>
      <c r="F186" s="28"/>
      <c r="G186" s="28" t="s">
        <v>69</v>
      </c>
      <c r="H186" s="51" t="s">
        <v>70</v>
      </c>
      <c r="I186" s="28" t="s">
        <v>25</v>
      </c>
      <c r="J186" s="29" t="s">
        <v>13</v>
      </c>
      <c r="K186" s="25" t="s">
        <v>71</v>
      </c>
      <c r="L186" s="25" t="s">
        <v>71</v>
      </c>
      <c r="M186" s="25" t="s">
        <v>71</v>
      </c>
      <c r="N186" s="25" t="s">
        <v>71</v>
      </c>
      <c r="O186" s="25" t="s">
        <v>71</v>
      </c>
      <c r="P186" s="25" t="s">
        <v>71</v>
      </c>
      <c r="Q186" s="25" t="s">
        <v>71</v>
      </c>
      <c r="R186" s="25" t="s">
        <v>71</v>
      </c>
      <c r="S186" s="25" t="s">
        <v>71</v>
      </c>
      <c r="T186" s="25" t="s">
        <v>71</v>
      </c>
      <c r="U186" s="25" t="s">
        <v>71</v>
      </c>
      <c r="V186" s="25" t="s">
        <v>71</v>
      </c>
      <c r="W186" s="25" t="s">
        <v>71</v>
      </c>
      <c r="X186" s="25" t="s">
        <v>71</v>
      </c>
      <c r="Y186" s="25" t="s">
        <v>71</v>
      </c>
      <c r="Z186" s="25" t="s">
        <v>71</v>
      </c>
      <c r="AA186" s="25" t="s">
        <v>71</v>
      </c>
      <c r="AB186" s="25" t="s">
        <v>71</v>
      </c>
      <c r="AC186" s="25" t="s">
        <v>71</v>
      </c>
      <c r="AD186" s="25" t="s">
        <v>71</v>
      </c>
      <c r="AE186" s="25" t="s">
        <v>34</v>
      </c>
      <c r="AF186" s="25" t="s">
        <v>34</v>
      </c>
      <c r="AG186" s="25" t="s">
        <v>34</v>
      </c>
      <c r="AH186" s="25" t="s">
        <v>34</v>
      </c>
      <c r="AI186" s="25" t="s">
        <v>71</v>
      </c>
      <c r="AJ186" s="25" t="s">
        <v>34</v>
      </c>
      <c r="AK186" s="25"/>
      <c r="AL186" s="25"/>
      <c r="AM186" s="25"/>
      <c r="AN186" s="25"/>
      <c r="AO186" s="25"/>
      <c r="AP186" s="19">
        <f>COUNTIF(K186:AO186,"p")</f>
        <v>5</v>
      </c>
    </row>
    <row r="187" spans="1:42">
      <c r="A187" s="25"/>
      <c r="B187" s="26"/>
      <c r="C187" s="39"/>
      <c r="D187" s="28"/>
      <c r="E187" s="28"/>
      <c r="F187" s="28"/>
      <c r="G187" s="28" t="s">
        <v>69</v>
      </c>
      <c r="H187" s="51" t="s">
        <v>70</v>
      </c>
      <c r="I187" s="28" t="s">
        <v>25</v>
      </c>
      <c r="J187" s="29" t="s">
        <v>32</v>
      </c>
      <c r="K187" s="19"/>
      <c r="L187" s="30"/>
      <c r="M187" s="30"/>
      <c r="N187" s="30"/>
      <c r="O187" s="19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>
        <v>0.375</v>
      </c>
      <c r="AF187" s="30">
        <v>0.375</v>
      </c>
      <c r="AG187" s="30">
        <v>0.3888888888888889</v>
      </c>
      <c r="AH187" s="30">
        <v>0.375</v>
      </c>
      <c r="AI187" s="30" t="s">
        <v>71</v>
      </c>
      <c r="AJ187" s="30">
        <v>0.375</v>
      </c>
      <c r="AK187" s="30"/>
      <c r="AL187" s="30"/>
      <c r="AM187" s="30"/>
      <c r="AN187" s="19"/>
      <c r="AO187" s="30"/>
      <c r="AP187" s="19"/>
    </row>
    <row r="188" spans="1:42">
      <c r="A188" s="25"/>
      <c r="B188" s="26"/>
      <c r="C188" s="39"/>
      <c r="D188" s="28"/>
      <c r="E188" s="28"/>
      <c r="F188" s="28"/>
      <c r="G188" s="28" t="s">
        <v>69</v>
      </c>
      <c r="H188" s="51" t="s">
        <v>70</v>
      </c>
      <c r="I188" s="28" t="s">
        <v>25</v>
      </c>
      <c r="J188" s="29" t="s">
        <v>33</v>
      </c>
      <c r="K188" s="19"/>
      <c r="L188" s="30"/>
      <c r="M188" s="30"/>
      <c r="N188" s="30"/>
      <c r="O188" s="19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>
        <v>0.79166666666666663</v>
      </c>
      <c r="AF188" s="30">
        <v>0.83333333333333337</v>
      </c>
      <c r="AG188" s="30">
        <v>0.84375</v>
      </c>
      <c r="AH188" s="30">
        <v>0.76041666666666663</v>
      </c>
      <c r="AI188" s="30" t="s">
        <v>71</v>
      </c>
      <c r="AJ188" s="19"/>
      <c r="AK188" s="30"/>
      <c r="AL188" s="30"/>
      <c r="AM188" s="30"/>
      <c r="AN188" s="19"/>
      <c r="AO188" s="30"/>
      <c r="AP188" s="19"/>
    </row>
    <row r="189" spans="1:42">
      <c r="A189" s="31"/>
      <c r="B189" s="32"/>
      <c r="C189" s="47"/>
      <c r="D189" s="32"/>
      <c r="E189" s="32"/>
      <c r="F189" s="32"/>
      <c r="G189" s="32" t="s">
        <v>69</v>
      </c>
      <c r="H189" s="53" t="s">
        <v>70</v>
      </c>
      <c r="I189" s="32" t="s">
        <v>25</v>
      </c>
      <c r="J189" s="34" t="s">
        <v>72</v>
      </c>
      <c r="K189" s="35" t="str">
        <f t="shared" ref="K189:AO189" si="46">IF(AND(ISBLANK(K187),ISBLANK(K188)),"A",IFERROR(+MOD(K188-K187,1),0))</f>
        <v>A</v>
      </c>
      <c r="L189" s="35" t="str">
        <f t="shared" si="46"/>
        <v>A</v>
      </c>
      <c r="M189" s="35" t="str">
        <f t="shared" si="46"/>
        <v>A</v>
      </c>
      <c r="N189" s="35" t="str">
        <f t="shared" si="46"/>
        <v>A</v>
      </c>
      <c r="O189" s="35" t="str">
        <f t="shared" si="46"/>
        <v>A</v>
      </c>
      <c r="P189" s="35" t="str">
        <f t="shared" si="46"/>
        <v>A</v>
      </c>
      <c r="Q189" s="35" t="str">
        <f t="shared" si="46"/>
        <v>A</v>
      </c>
      <c r="R189" s="35" t="str">
        <f t="shared" si="46"/>
        <v>A</v>
      </c>
      <c r="S189" s="35" t="str">
        <f t="shared" si="46"/>
        <v>A</v>
      </c>
      <c r="T189" s="35" t="str">
        <f t="shared" si="46"/>
        <v>A</v>
      </c>
      <c r="U189" s="35" t="str">
        <f t="shared" si="46"/>
        <v>A</v>
      </c>
      <c r="V189" s="35" t="str">
        <f t="shared" si="46"/>
        <v>A</v>
      </c>
      <c r="W189" s="35" t="str">
        <f t="shared" si="46"/>
        <v>A</v>
      </c>
      <c r="X189" s="35" t="str">
        <f t="shared" si="46"/>
        <v>A</v>
      </c>
      <c r="Y189" s="35" t="str">
        <f t="shared" si="46"/>
        <v>A</v>
      </c>
      <c r="Z189" s="35" t="str">
        <f t="shared" si="46"/>
        <v>A</v>
      </c>
      <c r="AA189" s="35" t="str">
        <f t="shared" si="46"/>
        <v>A</v>
      </c>
      <c r="AB189" s="35" t="str">
        <f t="shared" si="46"/>
        <v>A</v>
      </c>
      <c r="AC189" s="35" t="str">
        <f t="shared" si="46"/>
        <v>A</v>
      </c>
      <c r="AD189" s="35" t="str">
        <f t="shared" si="46"/>
        <v>A</v>
      </c>
      <c r="AE189" s="35">
        <f t="shared" si="46"/>
        <v>0.41666666666666663</v>
      </c>
      <c r="AF189" s="35">
        <f t="shared" si="46"/>
        <v>0.45833333333333337</v>
      </c>
      <c r="AG189" s="35">
        <f t="shared" si="46"/>
        <v>0.4548611111111111</v>
      </c>
      <c r="AH189" s="35">
        <f t="shared" si="46"/>
        <v>0.38541666666666663</v>
      </c>
      <c r="AI189" s="35" t="s">
        <v>71</v>
      </c>
      <c r="AJ189" s="35">
        <f t="shared" si="46"/>
        <v>0.625</v>
      </c>
      <c r="AK189" s="35" t="str">
        <f t="shared" si="46"/>
        <v>A</v>
      </c>
      <c r="AL189" s="35" t="str">
        <f t="shared" si="46"/>
        <v>A</v>
      </c>
      <c r="AM189" s="35" t="str">
        <f t="shared" si="46"/>
        <v>A</v>
      </c>
      <c r="AN189" s="35" t="str">
        <f t="shared" si="46"/>
        <v>A</v>
      </c>
      <c r="AO189" s="35" t="str">
        <f t="shared" si="46"/>
        <v>A</v>
      </c>
      <c r="AP189" s="36"/>
    </row>
  </sheetData>
  <conditionalFormatting sqref="A2">
    <cfRule type="duplicateValues" dxfId="803" priority="92"/>
  </conditionalFormatting>
  <conditionalFormatting sqref="A3">
    <cfRule type="duplicateValues" dxfId="802" priority="91"/>
  </conditionalFormatting>
  <conditionalFormatting sqref="A4">
    <cfRule type="duplicateValues" dxfId="801" priority="90"/>
  </conditionalFormatting>
  <conditionalFormatting sqref="A6">
    <cfRule type="expression" dxfId="800" priority="88" stopIfTrue="1">
      <formula>AND(COUNTIF(#REF!,A6)&gt;1,NOT(ISBLANK(A6)))</formula>
    </cfRule>
    <cfRule type="duplicateValues" dxfId="799" priority="89"/>
  </conditionalFormatting>
  <conditionalFormatting sqref="A7">
    <cfRule type="expression" dxfId="798" priority="86" stopIfTrue="1">
      <formula>AND(COUNTIF(#REF!,A7)&gt;1,NOT(ISBLANK(A7)))</formula>
    </cfRule>
    <cfRule type="duplicateValues" dxfId="797" priority="87"/>
  </conditionalFormatting>
  <conditionalFormatting sqref="A8">
    <cfRule type="expression" dxfId="796" priority="84" stopIfTrue="1">
      <formula>AND(COUNTIF(#REF!,A8)&gt;1,NOT(ISBLANK(A8)))</formula>
    </cfRule>
    <cfRule type="duplicateValues" dxfId="795" priority="85"/>
  </conditionalFormatting>
  <conditionalFormatting sqref="A10">
    <cfRule type="duplicateValues" dxfId="794" priority="83"/>
  </conditionalFormatting>
  <conditionalFormatting sqref="A11">
    <cfRule type="duplicateValues" dxfId="793" priority="82"/>
  </conditionalFormatting>
  <conditionalFormatting sqref="A14">
    <cfRule type="duplicateValues" dxfId="792" priority="81"/>
  </conditionalFormatting>
  <conditionalFormatting sqref="A15">
    <cfRule type="duplicateValues" dxfId="791" priority="80"/>
  </conditionalFormatting>
  <conditionalFormatting sqref="A16">
    <cfRule type="duplicateValues" dxfId="790" priority="79"/>
  </conditionalFormatting>
  <conditionalFormatting sqref="A18">
    <cfRule type="duplicateValues" dxfId="789" priority="78"/>
  </conditionalFormatting>
  <conditionalFormatting sqref="A19">
    <cfRule type="duplicateValues" dxfId="788" priority="77"/>
  </conditionalFormatting>
  <conditionalFormatting sqref="A20">
    <cfRule type="duplicateValues" dxfId="787" priority="76"/>
  </conditionalFormatting>
  <conditionalFormatting sqref="A22">
    <cfRule type="duplicateValues" dxfId="786" priority="75"/>
  </conditionalFormatting>
  <conditionalFormatting sqref="A23">
    <cfRule type="duplicateValues" dxfId="785" priority="74"/>
  </conditionalFormatting>
  <conditionalFormatting sqref="A24">
    <cfRule type="duplicateValues" dxfId="784" priority="73"/>
  </conditionalFormatting>
  <conditionalFormatting sqref="A30">
    <cfRule type="duplicateValues" dxfId="783" priority="72"/>
  </conditionalFormatting>
  <conditionalFormatting sqref="A31">
    <cfRule type="duplicateValues" dxfId="782" priority="71"/>
  </conditionalFormatting>
  <conditionalFormatting sqref="A32">
    <cfRule type="duplicateValues" dxfId="781" priority="70"/>
  </conditionalFormatting>
  <conditionalFormatting sqref="A38">
    <cfRule type="duplicateValues" dxfId="780" priority="69"/>
  </conditionalFormatting>
  <conditionalFormatting sqref="A39">
    <cfRule type="duplicateValues" dxfId="779" priority="68"/>
  </conditionalFormatting>
  <conditionalFormatting sqref="A40">
    <cfRule type="duplicateValues" dxfId="778" priority="67"/>
  </conditionalFormatting>
  <conditionalFormatting sqref="A42">
    <cfRule type="duplicateValues" dxfId="777" priority="66"/>
  </conditionalFormatting>
  <conditionalFormatting sqref="A43">
    <cfRule type="duplicateValues" dxfId="776" priority="65"/>
  </conditionalFormatting>
  <conditionalFormatting sqref="A44">
    <cfRule type="duplicateValues" dxfId="775" priority="64"/>
  </conditionalFormatting>
  <conditionalFormatting sqref="A46">
    <cfRule type="duplicateValues" dxfId="774" priority="63"/>
  </conditionalFormatting>
  <conditionalFormatting sqref="A47">
    <cfRule type="duplicateValues" dxfId="773" priority="62"/>
  </conditionalFormatting>
  <conditionalFormatting sqref="A48">
    <cfRule type="duplicateValues" dxfId="772" priority="61"/>
  </conditionalFormatting>
  <conditionalFormatting sqref="A54">
    <cfRule type="duplicateValues" dxfId="771" priority="60"/>
  </conditionalFormatting>
  <conditionalFormatting sqref="A55">
    <cfRule type="duplicateValues" dxfId="770" priority="59"/>
  </conditionalFormatting>
  <conditionalFormatting sqref="A56">
    <cfRule type="duplicateValues" dxfId="769" priority="58"/>
  </conditionalFormatting>
  <conditionalFormatting sqref="A58">
    <cfRule type="duplicateValues" dxfId="768" priority="57"/>
  </conditionalFormatting>
  <conditionalFormatting sqref="A59">
    <cfRule type="duplicateValues" dxfId="767" priority="56"/>
  </conditionalFormatting>
  <conditionalFormatting sqref="A60">
    <cfRule type="duplicateValues" dxfId="766" priority="55"/>
  </conditionalFormatting>
  <conditionalFormatting sqref="A62">
    <cfRule type="duplicateValues" dxfId="765" priority="54"/>
  </conditionalFormatting>
  <conditionalFormatting sqref="A63">
    <cfRule type="duplicateValues" dxfId="764" priority="53"/>
  </conditionalFormatting>
  <conditionalFormatting sqref="A64">
    <cfRule type="duplicateValues" dxfId="763" priority="52"/>
  </conditionalFormatting>
  <conditionalFormatting sqref="A70">
    <cfRule type="duplicateValues" dxfId="762" priority="51"/>
  </conditionalFormatting>
  <conditionalFormatting sqref="A71">
    <cfRule type="duplicateValues" dxfId="761" priority="50"/>
  </conditionalFormatting>
  <conditionalFormatting sqref="A72">
    <cfRule type="duplicateValues" dxfId="760" priority="49"/>
  </conditionalFormatting>
  <conditionalFormatting sqref="A74">
    <cfRule type="duplicateValues" dxfId="759" priority="48"/>
  </conditionalFormatting>
  <conditionalFormatting sqref="A75">
    <cfRule type="duplicateValues" dxfId="758" priority="47"/>
  </conditionalFormatting>
  <conditionalFormatting sqref="A76">
    <cfRule type="duplicateValues" dxfId="757" priority="46"/>
  </conditionalFormatting>
  <conditionalFormatting sqref="A78">
    <cfRule type="duplicateValues" dxfId="756" priority="45"/>
  </conditionalFormatting>
  <conditionalFormatting sqref="A79">
    <cfRule type="duplicateValues" dxfId="755" priority="44"/>
  </conditionalFormatting>
  <conditionalFormatting sqref="A80">
    <cfRule type="duplicateValues" dxfId="754" priority="43"/>
  </conditionalFormatting>
  <conditionalFormatting sqref="A86">
    <cfRule type="duplicateValues" dxfId="753" priority="42"/>
  </conditionalFormatting>
  <conditionalFormatting sqref="A87">
    <cfRule type="duplicateValues" dxfId="752" priority="41"/>
  </conditionalFormatting>
  <conditionalFormatting sqref="A88">
    <cfRule type="duplicateValues" dxfId="751" priority="40"/>
  </conditionalFormatting>
  <conditionalFormatting sqref="A90">
    <cfRule type="duplicateValues" dxfId="750" priority="39"/>
  </conditionalFormatting>
  <conditionalFormatting sqref="A91">
    <cfRule type="duplicateValues" dxfId="749" priority="38"/>
  </conditionalFormatting>
  <conditionalFormatting sqref="A92">
    <cfRule type="duplicateValues" dxfId="748" priority="37"/>
  </conditionalFormatting>
  <conditionalFormatting sqref="A94">
    <cfRule type="duplicateValues" dxfId="747" priority="36"/>
  </conditionalFormatting>
  <conditionalFormatting sqref="A95">
    <cfRule type="duplicateValues" dxfId="746" priority="35"/>
  </conditionalFormatting>
  <conditionalFormatting sqref="A96">
    <cfRule type="duplicateValues" dxfId="745" priority="34"/>
  </conditionalFormatting>
  <conditionalFormatting sqref="A98">
    <cfRule type="duplicateValues" dxfId="744" priority="33"/>
  </conditionalFormatting>
  <conditionalFormatting sqref="A99">
    <cfRule type="duplicateValues" dxfId="743" priority="32"/>
  </conditionalFormatting>
  <conditionalFormatting sqref="A100">
    <cfRule type="duplicateValues" dxfId="742" priority="31"/>
  </conditionalFormatting>
  <conditionalFormatting sqref="A102">
    <cfRule type="duplicateValues" dxfId="741" priority="30"/>
  </conditionalFormatting>
  <conditionalFormatting sqref="A103">
    <cfRule type="duplicateValues" dxfId="740" priority="29"/>
  </conditionalFormatting>
  <conditionalFormatting sqref="A104">
    <cfRule type="duplicateValues" dxfId="739" priority="28"/>
  </conditionalFormatting>
  <conditionalFormatting sqref="A106">
    <cfRule type="duplicateValues" dxfId="738" priority="27"/>
  </conditionalFormatting>
  <conditionalFormatting sqref="A107">
    <cfRule type="duplicateValues" dxfId="737" priority="26"/>
  </conditionalFormatting>
  <conditionalFormatting sqref="A108">
    <cfRule type="duplicateValues" dxfId="736" priority="25"/>
  </conditionalFormatting>
  <conditionalFormatting sqref="A126">
    <cfRule type="duplicateValues" dxfId="735" priority="24"/>
  </conditionalFormatting>
  <conditionalFormatting sqref="A127">
    <cfRule type="duplicateValues" dxfId="734" priority="23"/>
  </conditionalFormatting>
  <conditionalFormatting sqref="A128">
    <cfRule type="duplicateValues" dxfId="733" priority="22"/>
  </conditionalFormatting>
  <conditionalFormatting sqref="A130">
    <cfRule type="duplicateValues" dxfId="732" priority="21"/>
  </conditionalFormatting>
  <conditionalFormatting sqref="A131">
    <cfRule type="duplicateValues" dxfId="731" priority="20"/>
  </conditionalFormatting>
  <conditionalFormatting sqref="A132">
    <cfRule type="duplicateValues" dxfId="730" priority="19"/>
  </conditionalFormatting>
  <conditionalFormatting sqref="A138">
    <cfRule type="duplicateValues" dxfId="729" priority="18"/>
  </conditionalFormatting>
  <conditionalFormatting sqref="A139">
    <cfRule type="duplicateValues" dxfId="728" priority="17"/>
  </conditionalFormatting>
  <conditionalFormatting sqref="A140">
    <cfRule type="duplicateValues" dxfId="727" priority="16"/>
  </conditionalFormatting>
  <conditionalFormatting sqref="A146">
    <cfRule type="duplicateValues" dxfId="726" priority="15"/>
  </conditionalFormatting>
  <conditionalFormatting sqref="A147">
    <cfRule type="duplicateValues" dxfId="725" priority="14"/>
  </conditionalFormatting>
  <conditionalFormatting sqref="A148">
    <cfRule type="duplicateValues" dxfId="724" priority="13"/>
  </conditionalFormatting>
  <conditionalFormatting sqref="A166">
    <cfRule type="duplicateValues" dxfId="723" priority="12"/>
  </conditionalFormatting>
  <conditionalFormatting sqref="A167">
    <cfRule type="duplicateValues" dxfId="722" priority="11"/>
  </conditionalFormatting>
  <conditionalFormatting sqref="A168">
    <cfRule type="duplicateValues" dxfId="721" priority="10"/>
  </conditionalFormatting>
  <conditionalFormatting sqref="A170">
    <cfRule type="duplicateValues" dxfId="720" priority="9"/>
  </conditionalFormatting>
  <conditionalFormatting sqref="A171">
    <cfRule type="duplicateValues" dxfId="719" priority="8"/>
  </conditionalFormatting>
  <conditionalFormatting sqref="A172">
    <cfRule type="duplicateValues" dxfId="718" priority="7"/>
  </conditionalFormatting>
  <conditionalFormatting sqref="A182">
    <cfRule type="duplicateValues" dxfId="717" priority="6"/>
  </conditionalFormatting>
  <conditionalFormatting sqref="A183">
    <cfRule type="duplicateValues" dxfId="716" priority="5"/>
  </conditionalFormatting>
  <conditionalFormatting sqref="A184">
    <cfRule type="duplicateValues" dxfId="715" priority="4"/>
  </conditionalFormatting>
  <conditionalFormatting sqref="A186">
    <cfRule type="duplicateValues" dxfId="714" priority="3"/>
  </conditionalFormatting>
  <conditionalFormatting sqref="A187">
    <cfRule type="duplicateValues" dxfId="713" priority="2"/>
  </conditionalFormatting>
  <conditionalFormatting sqref="A188">
    <cfRule type="duplicateValues" dxfId="71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5"/>
  <sheetViews>
    <sheetView workbookViewId="0">
      <pane xSplit="2" topLeftCell="C1" activePane="topRight" state="frozen"/>
      <selection pane="topRight" activeCell="A3" sqref="A3"/>
    </sheetView>
  </sheetViews>
  <sheetFormatPr defaultRowHeight="14.5"/>
  <cols>
    <col min="1" max="1" width="7" bestFit="1" customWidth="1"/>
    <col min="2" max="2" width="17.26953125" customWidth="1"/>
    <col min="3" max="3" width="21.6328125" bestFit="1" customWidth="1"/>
    <col min="4" max="4" width="10.08984375" bestFit="1" customWidth="1"/>
    <col min="5" max="5" width="7.36328125" customWidth="1"/>
    <col min="6" max="6" width="11.36328125" customWidth="1"/>
    <col min="7" max="7" width="5.54296875" bestFit="1" customWidth="1"/>
    <col min="8" max="13" width="6.453125" bestFit="1" customWidth="1"/>
    <col min="14" max="14" width="5.1796875" bestFit="1" customWidth="1"/>
    <col min="15" max="15" width="5.1796875" customWidth="1"/>
    <col min="16" max="16" width="5.453125" customWidth="1"/>
    <col min="17" max="17" width="6" customWidth="1"/>
    <col min="18" max="18" width="5.54296875" customWidth="1"/>
    <col min="19" max="19" width="6.08984375" customWidth="1"/>
    <col min="20" max="20" width="5.36328125" customWidth="1"/>
    <col min="21" max="21" width="5.26953125" customWidth="1"/>
    <col min="22" max="22" width="5.453125" customWidth="1"/>
    <col min="23" max="35" width="6.08984375" bestFit="1" customWidth="1"/>
    <col min="36" max="36" width="6.54296875" customWidth="1"/>
    <col min="37" max="37" width="6" customWidth="1"/>
    <col min="38" max="38" width="6.36328125" customWidth="1"/>
    <col min="39" max="39" width="6.6328125" bestFit="1" customWidth="1"/>
    <col min="40" max="40" width="4.453125" bestFit="1" customWidth="1"/>
    <col min="41" max="41" width="3.26953125" bestFit="1" customWidth="1"/>
    <col min="42" max="42" width="3.7265625" bestFit="1" customWidth="1"/>
    <col min="43" max="43" width="7.81640625" bestFit="1" customWidth="1"/>
    <col min="44" max="44" width="5.81640625" bestFit="1" customWidth="1"/>
    <col min="45" max="45" width="3.08984375" bestFit="1" customWidth="1"/>
    <col min="46" max="46" width="8.81640625" bestFit="1" customWidth="1"/>
    <col min="47" max="47" width="6.1796875" bestFit="1" customWidth="1"/>
  </cols>
  <sheetData>
    <row r="1" spans="1:47">
      <c r="A1" s="1"/>
      <c r="B1" s="1"/>
      <c r="C1" s="1"/>
      <c r="D1" s="1"/>
      <c r="E1" s="1"/>
      <c r="F1" s="1"/>
      <c r="G1" s="1"/>
      <c r="H1" s="2" t="s">
        <v>40</v>
      </c>
      <c r="I1" s="18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  <c r="AB1" s="2" t="s">
        <v>46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40</v>
      </c>
      <c r="AK1" s="2" t="s">
        <v>41</v>
      </c>
      <c r="AL1" s="2" t="s">
        <v>42</v>
      </c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>
        <v>45864</v>
      </c>
      <c r="I2" s="4">
        <v>45865</v>
      </c>
      <c r="J2" s="4">
        <v>45866</v>
      </c>
      <c r="K2" s="4">
        <v>45867</v>
      </c>
      <c r="L2" s="4">
        <v>45868</v>
      </c>
      <c r="M2" s="4">
        <v>45869</v>
      </c>
      <c r="N2" s="4">
        <v>45870</v>
      </c>
      <c r="O2" s="4">
        <v>45871</v>
      </c>
      <c r="P2" s="4">
        <v>45872</v>
      </c>
      <c r="Q2" s="4">
        <v>45873</v>
      </c>
      <c r="R2" s="4">
        <v>45874</v>
      </c>
      <c r="S2" s="4">
        <v>45875</v>
      </c>
      <c r="T2" s="4">
        <v>45876</v>
      </c>
      <c r="U2" s="4">
        <v>45877</v>
      </c>
      <c r="V2" s="4">
        <v>45878</v>
      </c>
      <c r="W2" s="4">
        <v>45879</v>
      </c>
      <c r="X2" s="4">
        <v>45880</v>
      </c>
      <c r="Y2" s="4">
        <v>45881</v>
      </c>
      <c r="Z2" s="4">
        <v>45882</v>
      </c>
      <c r="AA2" s="4">
        <v>45883</v>
      </c>
      <c r="AB2" s="4">
        <v>45884</v>
      </c>
      <c r="AC2" s="4">
        <v>45885</v>
      </c>
      <c r="AD2" s="4">
        <v>45886</v>
      </c>
      <c r="AE2" s="4">
        <v>45887</v>
      </c>
      <c r="AF2" s="4">
        <v>45888</v>
      </c>
      <c r="AG2" s="4">
        <v>45889</v>
      </c>
      <c r="AH2" s="4">
        <v>45890</v>
      </c>
      <c r="AI2" s="4">
        <v>45891</v>
      </c>
      <c r="AJ2" s="4">
        <v>45892</v>
      </c>
      <c r="AK2" s="4">
        <v>45893</v>
      </c>
      <c r="AL2" s="4">
        <v>45894</v>
      </c>
      <c r="AM2" s="5" t="s">
        <v>14</v>
      </c>
      <c r="AN2" s="5" t="s">
        <v>15</v>
      </c>
      <c r="AO2" s="5" t="s">
        <v>16</v>
      </c>
      <c r="AP2" s="5" t="s">
        <v>17</v>
      </c>
      <c r="AQ2" s="5" t="s">
        <v>18</v>
      </c>
      <c r="AR2" s="5" t="s">
        <v>19</v>
      </c>
      <c r="AS2" s="5" t="s">
        <v>20</v>
      </c>
      <c r="AT2" s="6" t="s">
        <v>21</v>
      </c>
      <c r="AU2" s="7" t="s">
        <v>22</v>
      </c>
    </row>
    <row r="3" spans="1:47">
      <c r="A3" s="8" t="s">
        <v>26</v>
      </c>
      <c r="B3" s="8" t="s">
        <v>27</v>
      </c>
      <c r="C3" s="1" t="s">
        <v>23</v>
      </c>
      <c r="D3" s="1" t="s">
        <v>28</v>
      </c>
      <c r="E3" s="9">
        <v>45537</v>
      </c>
      <c r="F3" s="1" t="s">
        <v>36</v>
      </c>
      <c r="G3" s="8" t="s">
        <v>25</v>
      </c>
      <c r="H3" s="11" t="s">
        <v>34</v>
      </c>
      <c r="I3" s="11" t="s">
        <v>34</v>
      </c>
      <c r="J3" s="10" t="s">
        <v>34</v>
      </c>
      <c r="K3" s="11" t="s">
        <v>34</v>
      </c>
      <c r="L3" s="11" t="s">
        <v>34</v>
      </c>
      <c r="M3" s="11" t="s">
        <v>34</v>
      </c>
      <c r="N3" s="11" t="s">
        <v>34</v>
      </c>
      <c r="O3" s="11" t="s">
        <v>34</v>
      </c>
      <c r="P3" s="11" t="s">
        <v>34</v>
      </c>
      <c r="Q3" s="10" t="s">
        <v>34</v>
      </c>
      <c r="R3" s="11" t="s">
        <v>34</v>
      </c>
      <c r="S3" s="10" t="s">
        <v>34</v>
      </c>
      <c r="T3" s="11" t="s">
        <v>34</v>
      </c>
      <c r="U3" s="11" t="s">
        <v>34</v>
      </c>
      <c r="V3" s="11" t="s">
        <v>34</v>
      </c>
      <c r="W3" s="13" t="s">
        <v>34</v>
      </c>
      <c r="X3" s="11" t="s">
        <v>34</v>
      </c>
      <c r="Y3" s="11" t="s">
        <v>34</v>
      </c>
      <c r="Z3" s="11" t="s">
        <v>34</v>
      </c>
      <c r="AA3" s="11" t="s">
        <v>34</v>
      </c>
      <c r="AB3" s="11" t="s">
        <v>47</v>
      </c>
      <c r="AC3" s="11" t="s">
        <v>34</v>
      </c>
      <c r="AD3" s="11" t="s">
        <v>34</v>
      </c>
      <c r="AE3" s="11" t="s">
        <v>34</v>
      </c>
      <c r="AF3" s="11" t="s">
        <v>34</v>
      </c>
      <c r="AG3" s="10" t="s">
        <v>34</v>
      </c>
      <c r="AH3" s="11" t="s">
        <v>34</v>
      </c>
      <c r="AI3" s="11" t="s">
        <v>34</v>
      </c>
      <c r="AJ3" s="11" t="s">
        <v>34</v>
      </c>
      <c r="AK3" s="11" t="s">
        <v>34</v>
      </c>
      <c r="AL3" s="11" t="s">
        <v>34</v>
      </c>
      <c r="AM3" s="12">
        <f>COUNTIF(H3:AL3,"P")</f>
        <v>30</v>
      </c>
      <c r="AN3" s="12">
        <f>COUNTIF(H3:AL3,"WFH")</f>
        <v>0</v>
      </c>
      <c r="AO3" s="12">
        <f>COUNTIF(H3:AL3,"OD")</f>
        <v>0</v>
      </c>
      <c r="AP3" s="12">
        <f>COUNTIF(H3:AL3,"WO")</f>
        <v>0</v>
      </c>
      <c r="AQ3" s="12">
        <f>COUNTIF(H3:AL3,"H")</f>
        <v>1</v>
      </c>
      <c r="AR3" s="12">
        <f>COUNTIF(H3:AL3,"L")</f>
        <v>0</v>
      </c>
      <c r="AS3" s="12">
        <f>COUNTIF(H3:AL3,"CO")</f>
        <v>0</v>
      </c>
      <c r="AT3" s="12">
        <f>COUNTIF(H3:AL3,"P")</f>
        <v>30</v>
      </c>
      <c r="AU3" s="12">
        <f>COUNTIF(H3:AL3,"A")</f>
        <v>0</v>
      </c>
    </row>
    <row r="4" spans="1:47">
      <c r="A4" s="1" t="s">
        <v>29</v>
      </c>
      <c r="B4" s="1" t="s">
        <v>30</v>
      </c>
      <c r="C4" s="1" t="s">
        <v>31</v>
      </c>
      <c r="D4" s="1" t="s">
        <v>24</v>
      </c>
      <c r="E4" s="9">
        <v>45566</v>
      </c>
      <c r="F4" s="1" t="s">
        <v>36</v>
      </c>
      <c r="G4" s="8" t="s">
        <v>25</v>
      </c>
      <c r="H4" s="11" t="s">
        <v>34</v>
      </c>
      <c r="I4" s="11" t="s">
        <v>34</v>
      </c>
      <c r="J4" s="10" t="s">
        <v>34</v>
      </c>
      <c r="K4" s="11" t="s">
        <v>34</v>
      </c>
      <c r="L4" s="11" t="s">
        <v>34</v>
      </c>
      <c r="M4" s="11" t="s">
        <v>34</v>
      </c>
      <c r="N4" s="11" t="s">
        <v>34</v>
      </c>
      <c r="O4" s="11" t="s">
        <v>34</v>
      </c>
      <c r="P4" s="11" t="s">
        <v>34</v>
      </c>
      <c r="Q4" s="10" t="s">
        <v>34</v>
      </c>
      <c r="R4" s="11" t="s">
        <v>34</v>
      </c>
      <c r="S4" s="10" t="s">
        <v>34</v>
      </c>
      <c r="T4" s="14" t="s">
        <v>34</v>
      </c>
      <c r="U4" s="11" t="s">
        <v>34</v>
      </c>
      <c r="V4" s="11" t="s">
        <v>34</v>
      </c>
      <c r="W4" s="11" t="s">
        <v>34</v>
      </c>
      <c r="X4" s="11" t="s">
        <v>34</v>
      </c>
      <c r="Y4" s="11" t="s">
        <v>34</v>
      </c>
      <c r="Z4" s="10" t="s">
        <v>34</v>
      </c>
      <c r="AA4" s="11" t="s">
        <v>34</v>
      </c>
      <c r="AB4" s="11" t="s">
        <v>47</v>
      </c>
      <c r="AC4" s="11" t="s">
        <v>34</v>
      </c>
      <c r="AD4" s="11" t="s">
        <v>34</v>
      </c>
      <c r="AE4" s="11" t="s">
        <v>34</v>
      </c>
      <c r="AF4" s="11" t="s">
        <v>34</v>
      </c>
      <c r="AG4" s="11" t="s">
        <v>34</v>
      </c>
      <c r="AH4" s="11" t="s">
        <v>34</v>
      </c>
      <c r="AI4" s="11" t="s">
        <v>34</v>
      </c>
      <c r="AJ4" s="11" t="s">
        <v>34</v>
      </c>
      <c r="AK4" s="11" t="s">
        <v>34</v>
      </c>
      <c r="AL4" s="11" t="s">
        <v>34</v>
      </c>
      <c r="AM4" s="12">
        <f>COUNTIF(H4:AL4,"P")</f>
        <v>30</v>
      </c>
      <c r="AN4" s="12">
        <f>COUNTIF(H4:AL4,"WFH")</f>
        <v>0</v>
      </c>
      <c r="AO4" s="12">
        <f>COUNTIF(H4:AL4,"OD")</f>
        <v>0</v>
      </c>
      <c r="AP4" s="12">
        <f>COUNTIF(H4:AL4,"WO")</f>
        <v>0</v>
      </c>
      <c r="AQ4" s="12">
        <f>COUNTIF(H4:AL4,"H")</f>
        <v>1</v>
      </c>
      <c r="AR4" s="12">
        <f>COUNTIF(H4:AL4,"L")</f>
        <v>0</v>
      </c>
      <c r="AS4" s="12">
        <f>COUNTIF(H4:AL4,"CO")</f>
        <v>0</v>
      </c>
      <c r="AT4" s="12">
        <f>COUNTIF(H4:AL4,"P")</f>
        <v>30</v>
      </c>
      <c r="AU4" s="12">
        <f>COUNTIF(H4:AL4,"A")</f>
        <v>0</v>
      </c>
    </row>
    <row r="5" spans="1:47">
      <c r="A5" s="1" t="s">
        <v>38</v>
      </c>
      <c r="B5" s="1" t="s">
        <v>37</v>
      </c>
      <c r="C5" s="1"/>
      <c r="D5" s="1" t="s">
        <v>24</v>
      </c>
      <c r="E5" s="9"/>
      <c r="F5" s="1" t="s">
        <v>36</v>
      </c>
      <c r="G5" s="8" t="s">
        <v>25</v>
      </c>
      <c r="H5" s="10" t="s">
        <v>34</v>
      </c>
      <c r="I5" s="10" t="s">
        <v>34</v>
      </c>
      <c r="J5" s="10" t="s">
        <v>34</v>
      </c>
      <c r="K5" s="10" t="s">
        <v>34</v>
      </c>
      <c r="L5" s="10" t="s">
        <v>34</v>
      </c>
      <c r="M5" s="11" t="s">
        <v>34</v>
      </c>
      <c r="N5" s="11" t="s">
        <v>34</v>
      </c>
      <c r="O5" s="10" t="s">
        <v>34</v>
      </c>
      <c r="P5" s="10" t="s">
        <v>34</v>
      </c>
      <c r="Q5" s="10" t="s">
        <v>34</v>
      </c>
      <c r="R5" s="11" t="s">
        <v>34</v>
      </c>
      <c r="S5" s="10" t="s">
        <v>34</v>
      </c>
      <c r="T5" s="10" t="s">
        <v>34</v>
      </c>
      <c r="U5" s="11" t="s">
        <v>34</v>
      </c>
      <c r="V5" s="10" t="s">
        <v>17</v>
      </c>
      <c r="W5" s="10" t="s">
        <v>34</v>
      </c>
      <c r="X5" s="10" t="s">
        <v>34</v>
      </c>
      <c r="Y5" s="10" t="s">
        <v>34</v>
      </c>
      <c r="Z5" s="10" t="s">
        <v>34</v>
      </c>
      <c r="AA5" s="10" t="s">
        <v>34</v>
      </c>
      <c r="AB5" s="11" t="s">
        <v>34</v>
      </c>
      <c r="AC5" s="10" t="s">
        <v>34</v>
      </c>
      <c r="AD5" s="11" t="s">
        <v>34</v>
      </c>
      <c r="AE5" s="10" t="s">
        <v>34</v>
      </c>
      <c r="AF5" s="11" t="s">
        <v>34</v>
      </c>
      <c r="AG5" s="10" t="s">
        <v>34</v>
      </c>
      <c r="AH5" s="11" t="s">
        <v>17</v>
      </c>
      <c r="AI5" s="11" t="s">
        <v>34</v>
      </c>
      <c r="AJ5" s="11" t="s">
        <v>34</v>
      </c>
      <c r="AK5" s="10" t="s">
        <v>34</v>
      </c>
      <c r="AL5" s="11" t="s">
        <v>34</v>
      </c>
      <c r="AM5" s="12">
        <f>COUNTIF(H5:AL5,"P")</f>
        <v>29</v>
      </c>
      <c r="AN5" s="12">
        <f>COUNTIF(H5:AL5,"WFH")</f>
        <v>0</v>
      </c>
      <c r="AO5" s="12">
        <f>COUNTIF(H5:AL5,"OD")</f>
        <v>0</v>
      </c>
      <c r="AP5" s="12">
        <f>COUNTIF(H5:AL5,"WO")</f>
        <v>2</v>
      </c>
      <c r="AQ5" s="12">
        <f>COUNTIF(H5:AL5,"H")</f>
        <v>0</v>
      </c>
      <c r="AR5" s="12">
        <f>COUNTIF(H5:AL5,"L")</f>
        <v>0</v>
      </c>
      <c r="AS5" s="12">
        <f>COUNTIF(H5:AL5,"CO")</f>
        <v>0</v>
      </c>
      <c r="AT5" s="12">
        <f>COUNTIF(H5:AL5,"P")</f>
        <v>29</v>
      </c>
      <c r="AU5" s="12">
        <f>COUNTIF(H5:AL5,"A")</f>
        <v>0</v>
      </c>
    </row>
  </sheetData>
  <phoneticPr fontId="11" type="noConversion"/>
  <conditionalFormatting sqref="A1:G2 AM1:AU2 A3:AU5">
    <cfRule type="containsBlanks" dxfId="711" priority="2">
      <formula>LEN(TRIM(A1))=0</formula>
    </cfRule>
    <cfRule type="containsBlanks" priority="3">
      <formula>LEN(TRIM(A1))=0</formula>
    </cfRule>
  </conditionalFormatting>
  <conditionalFormatting sqref="A3:A5">
    <cfRule type="duplicateValues" dxfId="710" priority="9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"/>
  <sheetViews>
    <sheetView tabSelected="1" zoomScale="104" zoomScaleNormal="104" workbookViewId="0">
      <pane xSplit="2" ySplit="16" topLeftCell="C17" activePane="bottomRight" state="frozen"/>
      <selection pane="topRight" activeCell="C1" sqref="C1"/>
      <selection pane="bottomLeft" activeCell="A14" sqref="A14"/>
      <selection pane="bottomRight" activeCell="N4" sqref="N4"/>
    </sheetView>
  </sheetViews>
  <sheetFormatPr defaultRowHeight="14.5"/>
  <cols>
    <col min="1" max="1" width="7.36328125" bestFit="1" customWidth="1"/>
    <col min="2" max="2" width="17.08984375" bestFit="1" customWidth="1"/>
    <col min="3" max="3" width="24.453125" customWidth="1"/>
    <col min="4" max="4" width="10.08984375" bestFit="1" customWidth="1"/>
    <col min="5" max="5" width="7.54296875" hidden="1" customWidth="1"/>
    <col min="6" max="6" width="10.26953125" hidden="1" customWidth="1"/>
    <col min="7" max="7" width="7.81640625" bestFit="1" customWidth="1"/>
    <col min="8" max="8" width="6.08984375" style="16" customWidth="1"/>
    <col min="9" max="14" width="8.7265625" customWidth="1"/>
  </cols>
  <sheetData>
    <row r="1" spans="1:44">
      <c r="A1" s="1"/>
      <c r="B1" s="1"/>
      <c r="C1" s="1"/>
      <c r="D1" s="1"/>
      <c r="E1" s="1"/>
      <c r="F1" s="1"/>
      <c r="G1" s="1"/>
      <c r="H1" s="2" t="s">
        <v>1</v>
      </c>
      <c r="I1" s="89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0</v>
      </c>
      <c r="O1" s="2" t="s">
        <v>1</v>
      </c>
      <c r="P1" s="89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5</v>
      </c>
      <c r="AA1" s="93" t="s">
        <v>6</v>
      </c>
      <c r="AB1" s="2" t="s">
        <v>0</v>
      </c>
      <c r="AC1" s="2" t="s">
        <v>1</v>
      </c>
      <c r="AD1" s="2" t="s">
        <v>2</v>
      </c>
      <c r="AE1" s="2" t="s">
        <v>3</v>
      </c>
      <c r="AF1" s="2" t="s">
        <v>4</v>
      </c>
      <c r="AG1" s="2" t="s">
        <v>5</v>
      </c>
      <c r="AH1" s="2" t="s">
        <v>6</v>
      </c>
      <c r="AI1" s="2" t="s">
        <v>0</v>
      </c>
      <c r="AJ1" s="2" t="s">
        <v>1</v>
      </c>
      <c r="AK1" s="2" t="s">
        <v>2</v>
      </c>
      <c r="AL1" s="2" t="s">
        <v>3</v>
      </c>
      <c r="AM1" s="2" t="s">
        <v>4</v>
      </c>
      <c r="AN1" s="2" t="s">
        <v>5</v>
      </c>
      <c r="AO1" s="2" t="s">
        <v>6</v>
      </c>
      <c r="AP1" s="2" t="s">
        <v>0</v>
      </c>
      <c r="AQ1" s="2" t="s">
        <v>1</v>
      </c>
      <c r="AR1" s="2" t="s">
        <v>2</v>
      </c>
    </row>
    <row r="2" spans="1:44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79">
        <v>45955</v>
      </c>
      <c r="I2" s="79">
        <v>45956</v>
      </c>
      <c r="J2" s="79">
        <v>45957</v>
      </c>
      <c r="K2" s="79">
        <v>45958</v>
      </c>
      <c r="L2" s="79">
        <v>45959</v>
      </c>
      <c r="M2" s="79">
        <v>45960</v>
      </c>
      <c r="N2" s="79">
        <v>45961</v>
      </c>
      <c r="O2" s="79">
        <v>45962</v>
      </c>
      <c r="P2" s="90">
        <v>45963</v>
      </c>
      <c r="Q2" s="79">
        <v>45964</v>
      </c>
      <c r="R2" s="79">
        <v>45965</v>
      </c>
      <c r="S2" s="79">
        <v>45966</v>
      </c>
      <c r="T2" s="79">
        <v>45967</v>
      </c>
      <c r="U2" s="79">
        <v>45968</v>
      </c>
      <c r="V2" s="79">
        <v>45969</v>
      </c>
      <c r="W2" s="79">
        <v>45970</v>
      </c>
      <c r="X2" s="79">
        <v>45971</v>
      </c>
      <c r="Y2" s="79">
        <v>45972</v>
      </c>
      <c r="Z2" s="79">
        <v>45973</v>
      </c>
      <c r="AA2" s="90">
        <v>45974</v>
      </c>
      <c r="AB2" s="79">
        <v>45975</v>
      </c>
      <c r="AC2" s="79">
        <v>45976</v>
      </c>
      <c r="AD2" s="79">
        <v>45977</v>
      </c>
      <c r="AE2" s="79">
        <v>45978</v>
      </c>
      <c r="AF2" s="79">
        <v>45979</v>
      </c>
      <c r="AG2" s="79">
        <v>45980</v>
      </c>
      <c r="AH2" s="79">
        <v>45981</v>
      </c>
      <c r="AI2" s="79">
        <v>45982</v>
      </c>
      <c r="AJ2" s="79">
        <v>45983</v>
      </c>
      <c r="AK2" s="79">
        <v>45984</v>
      </c>
      <c r="AL2" s="79">
        <v>45985</v>
      </c>
      <c r="AM2" s="79">
        <v>45986</v>
      </c>
      <c r="AN2" s="79">
        <v>45987</v>
      </c>
      <c r="AO2" s="90">
        <v>45988</v>
      </c>
      <c r="AP2" s="79">
        <v>45989</v>
      </c>
      <c r="AQ2" s="79">
        <v>45990</v>
      </c>
      <c r="AR2" s="79">
        <v>45991</v>
      </c>
    </row>
    <row r="3" spans="1:44">
      <c r="A3" s="65" t="s">
        <v>26</v>
      </c>
      <c r="B3" s="65" t="s">
        <v>27</v>
      </c>
      <c r="C3" s="65" t="s">
        <v>23</v>
      </c>
      <c r="D3" s="1" t="s">
        <v>28</v>
      </c>
      <c r="E3" s="9">
        <v>45537</v>
      </c>
      <c r="F3" s="1" t="s">
        <v>36</v>
      </c>
      <c r="G3" s="65" t="s">
        <v>13</v>
      </c>
      <c r="H3" s="86" t="s">
        <v>34</v>
      </c>
      <c r="I3" s="52" t="s">
        <v>105</v>
      </c>
      <c r="J3" s="86" t="s">
        <v>104</v>
      </c>
      <c r="K3" s="86" t="s">
        <v>104</v>
      </c>
      <c r="L3" s="86" t="s">
        <v>104</v>
      </c>
      <c r="M3" s="86" t="s">
        <v>104</v>
      </c>
      <c r="N3" s="86" t="s">
        <v>104</v>
      </c>
      <c r="O3" s="86" t="s">
        <v>34</v>
      </c>
      <c r="P3" s="86" t="s">
        <v>34</v>
      </c>
      <c r="Q3" s="86" t="s">
        <v>34</v>
      </c>
      <c r="R3" s="86" t="s">
        <v>71</v>
      </c>
      <c r="S3" s="86" t="s">
        <v>34</v>
      </c>
      <c r="T3" s="86" t="s">
        <v>34</v>
      </c>
      <c r="U3" s="86" t="s">
        <v>34</v>
      </c>
      <c r="V3" s="86" t="s">
        <v>34</v>
      </c>
      <c r="W3" s="86" t="s">
        <v>105</v>
      </c>
      <c r="X3" s="86" t="s">
        <v>34</v>
      </c>
      <c r="Y3" s="86" t="s">
        <v>34</v>
      </c>
      <c r="Z3" s="86" t="s">
        <v>34</v>
      </c>
      <c r="AA3" s="86" t="s">
        <v>34</v>
      </c>
      <c r="AB3" s="86" t="s">
        <v>34</v>
      </c>
      <c r="AC3" s="86" t="s">
        <v>34</v>
      </c>
      <c r="AD3" s="86" t="s">
        <v>71</v>
      </c>
      <c r="AE3" s="86" t="s">
        <v>34</v>
      </c>
      <c r="AF3" s="86" t="s">
        <v>71</v>
      </c>
      <c r="AG3" s="86" t="s">
        <v>34</v>
      </c>
      <c r="AH3" s="86" t="s">
        <v>34</v>
      </c>
      <c r="AI3" s="86" t="s">
        <v>34</v>
      </c>
      <c r="AJ3" s="86" t="s">
        <v>34</v>
      </c>
      <c r="AK3" s="86" t="s">
        <v>105</v>
      </c>
      <c r="AL3" s="86" t="s">
        <v>34</v>
      </c>
      <c r="AM3" s="86" t="s">
        <v>34</v>
      </c>
      <c r="AN3" s="86" t="s">
        <v>34</v>
      </c>
      <c r="AO3" s="86" t="s">
        <v>34</v>
      </c>
      <c r="AP3" s="86" t="s">
        <v>34</v>
      </c>
      <c r="AQ3" s="86" t="s">
        <v>34</v>
      </c>
      <c r="AR3" s="86" t="s">
        <v>71</v>
      </c>
    </row>
    <row r="4" spans="1:44">
      <c r="A4" s="65" t="s">
        <v>26</v>
      </c>
      <c r="B4" s="65" t="s">
        <v>27</v>
      </c>
      <c r="C4" s="65" t="s">
        <v>23</v>
      </c>
      <c r="D4" s="1" t="s">
        <v>28</v>
      </c>
      <c r="E4" s="9">
        <v>45537</v>
      </c>
      <c r="F4" s="1" t="s">
        <v>36</v>
      </c>
      <c r="G4" s="65" t="s">
        <v>32</v>
      </c>
      <c r="H4" s="87">
        <v>0.38194444444444442</v>
      </c>
      <c r="I4" s="52" t="s">
        <v>105</v>
      </c>
      <c r="J4" s="87" t="s">
        <v>104</v>
      </c>
      <c r="K4" s="87" t="s">
        <v>104</v>
      </c>
      <c r="L4" s="87" t="s">
        <v>104</v>
      </c>
      <c r="M4" s="87" t="s">
        <v>104</v>
      </c>
      <c r="N4" s="87" t="s">
        <v>104</v>
      </c>
      <c r="O4" s="87">
        <v>0.5</v>
      </c>
      <c r="P4" s="87">
        <v>0.41319444444444442</v>
      </c>
      <c r="Q4" s="87">
        <v>0.39583333333333331</v>
      </c>
      <c r="R4" s="87" t="s">
        <v>71</v>
      </c>
      <c r="S4" s="87">
        <v>0.375</v>
      </c>
      <c r="T4" s="87">
        <v>0.375</v>
      </c>
      <c r="U4" s="87">
        <v>0.3888888888888889</v>
      </c>
      <c r="V4" s="87">
        <v>0.375</v>
      </c>
      <c r="W4" s="86" t="s">
        <v>105</v>
      </c>
      <c r="X4" s="87">
        <v>0.38541666666666669</v>
      </c>
      <c r="Y4" s="87">
        <v>0.3888888888888889</v>
      </c>
      <c r="Z4" s="87">
        <v>0.39583333333333331</v>
      </c>
      <c r="AA4" s="87">
        <v>0.38194444444444442</v>
      </c>
      <c r="AB4" s="87">
        <v>0.3888888888888889</v>
      </c>
      <c r="AC4" s="87">
        <v>0.39583333333333331</v>
      </c>
      <c r="AD4" s="87" t="s">
        <v>71</v>
      </c>
      <c r="AE4" s="87">
        <v>0.3888888888888889</v>
      </c>
      <c r="AF4" s="87" t="s">
        <v>71</v>
      </c>
      <c r="AG4" s="87">
        <v>0.38194444444444442</v>
      </c>
      <c r="AH4" s="87">
        <v>0.38541666666666669</v>
      </c>
      <c r="AI4" s="87">
        <v>0.38541666666666669</v>
      </c>
      <c r="AJ4" s="87">
        <v>0.3923611111111111</v>
      </c>
      <c r="AK4" s="86" t="s">
        <v>105</v>
      </c>
      <c r="AL4" s="87">
        <v>0.3888888888888889</v>
      </c>
      <c r="AM4" s="87">
        <v>0.39583333333333331</v>
      </c>
      <c r="AN4" s="87">
        <v>0.375</v>
      </c>
      <c r="AO4" s="87">
        <v>0.39583333333333331</v>
      </c>
      <c r="AP4" s="87">
        <v>0.3923611111111111</v>
      </c>
      <c r="AQ4" s="87">
        <v>0.375</v>
      </c>
      <c r="AR4" s="87" t="s">
        <v>71</v>
      </c>
    </row>
    <row r="5" spans="1:44">
      <c r="A5" s="65" t="s">
        <v>26</v>
      </c>
      <c r="B5" s="65" t="s">
        <v>27</v>
      </c>
      <c r="C5" s="65" t="s">
        <v>23</v>
      </c>
      <c r="D5" s="1" t="s">
        <v>28</v>
      </c>
      <c r="E5" s="9">
        <v>45537</v>
      </c>
      <c r="F5" s="1" t="s">
        <v>36</v>
      </c>
      <c r="G5" s="65" t="s">
        <v>33</v>
      </c>
      <c r="H5" s="87">
        <v>0.72569444444444453</v>
      </c>
      <c r="I5" s="52" t="s">
        <v>105</v>
      </c>
      <c r="J5" s="87" t="s">
        <v>104</v>
      </c>
      <c r="K5" s="87" t="s">
        <v>104</v>
      </c>
      <c r="L5" s="87" t="s">
        <v>104</v>
      </c>
      <c r="M5" s="87" t="s">
        <v>104</v>
      </c>
      <c r="N5" s="87" t="s">
        <v>104</v>
      </c>
      <c r="O5" s="87">
        <v>0.79166666666666663</v>
      </c>
      <c r="P5" s="87">
        <v>0.64236111111111105</v>
      </c>
      <c r="Q5" s="87">
        <v>0.79166666666666663</v>
      </c>
      <c r="R5" s="87" t="s">
        <v>71</v>
      </c>
      <c r="S5" s="87">
        <v>0.75</v>
      </c>
      <c r="T5" s="87">
        <v>0.77083333333333337</v>
      </c>
      <c r="U5" s="87">
        <v>0.79166666666666663</v>
      </c>
      <c r="V5" s="87">
        <v>0.79166666666666663</v>
      </c>
      <c r="W5" s="86" t="s">
        <v>105</v>
      </c>
      <c r="X5" s="87">
        <v>0.79166666666666663</v>
      </c>
      <c r="Y5" s="87">
        <v>0.79166666666666663</v>
      </c>
      <c r="Z5" s="87">
        <v>0.79166666666666663</v>
      </c>
      <c r="AA5" s="87">
        <v>0.77777777777777779</v>
      </c>
      <c r="AB5" s="87">
        <v>0.75</v>
      </c>
      <c r="AC5" s="87">
        <v>0.77083333333333337</v>
      </c>
      <c r="AD5" s="87" t="s">
        <v>71</v>
      </c>
      <c r="AE5" s="87">
        <v>0.70833333333333337</v>
      </c>
      <c r="AF5" s="87" t="s">
        <v>71</v>
      </c>
      <c r="AG5" s="87">
        <v>0.75416666666666676</v>
      </c>
      <c r="AH5" s="87">
        <v>0.75</v>
      </c>
      <c r="AI5" s="87">
        <v>0.75</v>
      </c>
      <c r="AJ5" s="87">
        <v>0.75</v>
      </c>
      <c r="AK5" s="86" t="s">
        <v>105</v>
      </c>
      <c r="AL5" s="87">
        <v>0.75</v>
      </c>
      <c r="AM5" s="87">
        <v>0.79166666666666663</v>
      </c>
      <c r="AN5" s="87">
        <v>0.75</v>
      </c>
      <c r="AO5" s="87">
        <v>0.76388888888888884</v>
      </c>
      <c r="AP5" s="87">
        <v>0.79166666666666663</v>
      </c>
      <c r="AQ5" s="87">
        <v>0.8125</v>
      </c>
      <c r="AR5" s="87" t="s">
        <v>71</v>
      </c>
    </row>
    <row r="6" spans="1:44" s="68" customFormat="1">
      <c r="A6" s="81" t="s">
        <v>26</v>
      </c>
      <c r="B6" s="81" t="s">
        <v>27</v>
      </c>
      <c r="C6" s="81" t="s">
        <v>23</v>
      </c>
      <c r="D6" s="82" t="s">
        <v>28</v>
      </c>
      <c r="E6" s="83">
        <v>45537</v>
      </c>
      <c r="F6" s="82" t="s">
        <v>36</v>
      </c>
      <c r="G6" s="81" t="s">
        <v>72</v>
      </c>
      <c r="H6" s="88">
        <f t="shared" ref="H6:V6" si="0">IF(AND(ISBLANK(H4),ISBLANK(H5)),"A",IFERROR(+MOD(H5-H4,1),H3))</f>
        <v>0.34375000000000011</v>
      </c>
      <c r="I6" s="88" t="s">
        <v>105</v>
      </c>
      <c r="J6" s="88" t="s">
        <v>104</v>
      </c>
      <c r="K6" s="88" t="s">
        <v>104</v>
      </c>
      <c r="L6" s="88" t="s">
        <v>104</v>
      </c>
      <c r="M6" s="88" t="s">
        <v>104</v>
      </c>
      <c r="N6" s="88" t="s">
        <v>104</v>
      </c>
      <c r="O6" s="88">
        <f t="shared" ref="O6:Q6" si="1">IF(AND(ISBLANK(O4),ISBLANK(O5)),"A",IFERROR(+MOD(O5-O4,1),O3))</f>
        <v>0.29166666666666663</v>
      </c>
      <c r="P6" s="88">
        <f t="shared" si="1"/>
        <v>0.22916666666666663</v>
      </c>
      <c r="Q6" s="88">
        <f t="shared" si="1"/>
        <v>0.39583333333333331</v>
      </c>
      <c r="R6" s="88" t="s">
        <v>71</v>
      </c>
      <c r="S6" s="88">
        <f t="shared" ref="S6" si="2">IF(AND(ISBLANK(S4),ISBLANK(S5)),"A",IFERROR(+MOD(S5-S4,1),S3))</f>
        <v>0.375</v>
      </c>
      <c r="T6" s="88">
        <f t="shared" si="0"/>
        <v>0.39583333333333337</v>
      </c>
      <c r="U6" s="88">
        <f t="shared" si="0"/>
        <v>0.40277777777777773</v>
      </c>
      <c r="V6" s="91">
        <f t="shared" si="0"/>
        <v>0.41666666666666663</v>
      </c>
      <c r="W6" s="91" t="s">
        <v>105</v>
      </c>
      <c r="X6" s="88">
        <f t="shared" ref="X6:Y6" si="3">IF(AND(ISBLANK(X4),ISBLANK(X5)),"A",IFERROR(+MOD(X5-X4,1),X3))</f>
        <v>0.40624999999999994</v>
      </c>
      <c r="Y6" s="88">
        <f t="shared" si="3"/>
        <v>0.40277777777777773</v>
      </c>
      <c r="Z6" s="88">
        <f t="shared" ref="Z6:AA6" si="4">IF(AND(ISBLANK(Z4),ISBLANK(Z5)),"A",IFERROR(+MOD(Z5-Z4,1),Z3))</f>
        <v>0.39583333333333331</v>
      </c>
      <c r="AA6" s="88">
        <f t="shared" si="4"/>
        <v>0.39583333333333337</v>
      </c>
      <c r="AB6" s="88">
        <f t="shared" ref="AB6:AC6" si="5">IF(AND(ISBLANK(AB4),ISBLANK(AB5)),"A",IFERROR(+MOD(AB5-AB4,1),AB3))</f>
        <v>0.3611111111111111</v>
      </c>
      <c r="AC6" s="88">
        <f t="shared" si="5"/>
        <v>0.37500000000000006</v>
      </c>
      <c r="AD6" s="88" t="s">
        <v>71</v>
      </c>
      <c r="AE6" s="88">
        <f t="shared" ref="AE6:AG6" si="6">IF(AND(ISBLANK(AE4),ISBLANK(AE5)),"A",IFERROR(+MOD(AE5-AE4,1),AE3))</f>
        <v>0.31944444444444448</v>
      </c>
      <c r="AF6" s="88" t="s">
        <v>71</v>
      </c>
      <c r="AG6" s="88">
        <f t="shared" si="6"/>
        <v>0.37222222222222234</v>
      </c>
      <c r="AH6" s="88">
        <f t="shared" ref="AH6:AI6" si="7">IF(AND(ISBLANK(AH4),ISBLANK(AH5)),"A",IFERROR(+MOD(AH5-AH4,1),AH3))</f>
        <v>0.36458333333333331</v>
      </c>
      <c r="AI6" s="88">
        <f t="shared" si="7"/>
        <v>0.36458333333333331</v>
      </c>
      <c r="AJ6" s="88">
        <f t="shared" ref="AJ6:AL6" si="8">IF(AND(ISBLANK(AJ4),ISBLANK(AJ5)),"A",IFERROR(+MOD(AJ5-AJ4,1),AJ3))</f>
        <v>0.3576388888888889</v>
      </c>
      <c r="AK6" s="91" t="s">
        <v>105</v>
      </c>
      <c r="AL6" s="88">
        <f t="shared" si="8"/>
        <v>0.3611111111111111</v>
      </c>
      <c r="AM6" s="88">
        <f t="shared" ref="AM6:AN6" si="9">IF(AND(ISBLANK(AM4),ISBLANK(AM5)),"A",IFERROR(+MOD(AM5-AM4,1),AM3))</f>
        <v>0.39583333333333331</v>
      </c>
      <c r="AN6" s="88">
        <f t="shared" si="9"/>
        <v>0.375</v>
      </c>
      <c r="AO6" s="88">
        <f t="shared" ref="AO6:AP6" si="10">IF(AND(ISBLANK(AO4),ISBLANK(AO5)),"A",IFERROR(+MOD(AO5-AO4,1),AO3))</f>
        <v>0.36805555555555552</v>
      </c>
      <c r="AP6" s="88">
        <f t="shared" si="10"/>
        <v>0.39930555555555552</v>
      </c>
      <c r="AQ6" s="88">
        <f t="shared" ref="AQ6:AR6" si="11">IF(AND(ISBLANK(AQ4),ISBLANK(AQ5)),"A",IFERROR(+MOD(AQ5-AQ4,1),AQ3))</f>
        <v>0.4375</v>
      </c>
      <c r="AR6" s="88" t="s">
        <v>71</v>
      </c>
    </row>
    <row r="7" spans="1:44" s="15" customFormat="1">
      <c r="A7" s="1" t="s">
        <v>29</v>
      </c>
      <c r="B7" s="1" t="s">
        <v>30</v>
      </c>
      <c r="C7" s="1" t="s">
        <v>31</v>
      </c>
      <c r="D7" s="1" t="s">
        <v>24</v>
      </c>
      <c r="E7" s="9">
        <v>45566</v>
      </c>
      <c r="F7" s="1" t="s">
        <v>36</v>
      </c>
      <c r="G7" s="65" t="s">
        <v>13</v>
      </c>
      <c r="H7" s="86" t="s">
        <v>104</v>
      </c>
      <c r="I7" s="86" t="s">
        <v>105</v>
      </c>
      <c r="J7" s="86" t="s">
        <v>104</v>
      </c>
      <c r="K7" s="86" t="s">
        <v>104</v>
      </c>
      <c r="L7" s="86" t="s">
        <v>104</v>
      </c>
      <c r="M7" s="86" t="s">
        <v>104</v>
      </c>
      <c r="N7" s="86" t="s">
        <v>104</v>
      </c>
      <c r="O7" s="86" t="s">
        <v>104</v>
      </c>
      <c r="P7" s="86" t="s">
        <v>71</v>
      </c>
      <c r="Q7" s="86" t="s">
        <v>71</v>
      </c>
      <c r="R7" s="86" t="s">
        <v>71</v>
      </c>
      <c r="S7" s="86" t="s">
        <v>34</v>
      </c>
      <c r="T7" s="86" t="s">
        <v>71</v>
      </c>
      <c r="U7" s="86" t="s">
        <v>34</v>
      </c>
      <c r="V7" s="86" t="s">
        <v>34</v>
      </c>
      <c r="W7" s="86" t="s">
        <v>105</v>
      </c>
      <c r="X7" s="86" t="s">
        <v>71</v>
      </c>
      <c r="Y7" s="86" t="s">
        <v>34</v>
      </c>
      <c r="Z7" s="86" t="s">
        <v>34</v>
      </c>
      <c r="AA7" s="86" t="s">
        <v>71</v>
      </c>
      <c r="AB7" s="86" t="s">
        <v>71</v>
      </c>
      <c r="AC7" s="86" t="s">
        <v>34</v>
      </c>
      <c r="AD7" s="86" t="s">
        <v>34</v>
      </c>
      <c r="AE7" s="86" t="s">
        <v>34</v>
      </c>
      <c r="AF7" s="86" t="s">
        <v>34</v>
      </c>
      <c r="AG7" s="86" t="s">
        <v>34</v>
      </c>
      <c r="AH7" s="86" t="s">
        <v>34</v>
      </c>
      <c r="AI7" s="86" t="s">
        <v>34</v>
      </c>
      <c r="AJ7" s="86" t="s">
        <v>34</v>
      </c>
      <c r="AK7" s="86" t="s">
        <v>34</v>
      </c>
      <c r="AL7" s="86" t="s">
        <v>34</v>
      </c>
      <c r="AM7" s="86" t="s">
        <v>34</v>
      </c>
      <c r="AN7" s="86" t="s">
        <v>34</v>
      </c>
      <c r="AO7" s="86" t="s">
        <v>34</v>
      </c>
      <c r="AP7" s="86" t="s">
        <v>71</v>
      </c>
      <c r="AQ7" s="86" t="s">
        <v>34</v>
      </c>
      <c r="AR7" s="86" t="s">
        <v>34</v>
      </c>
    </row>
    <row r="8" spans="1:44">
      <c r="A8" s="1" t="s">
        <v>29</v>
      </c>
      <c r="B8" s="1" t="s">
        <v>30</v>
      </c>
      <c r="C8" s="1" t="s">
        <v>31</v>
      </c>
      <c r="D8" s="1" t="s">
        <v>24</v>
      </c>
      <c r="E8" s="9">
        <v>45566</v>
      </c>
      <c r="F8" s="1" t="s">
        <v>36</v>
      </c>
      <c r="G8" s="65" t="s">
        <v>32</v>
      </c>
      <c r="H8" s="87" t="s">
        <v>104</v>
      </c>
      <c r="I8" s="87" t="s">
        <v>105</v>
      </c>
      <c r="J8" s="87" t="s">
        <v>104</v>
      </c>
      <c r="K8" s="87" t="s">
        <v>104</v>
      </c>
      <c r="L8" s="87" t="s">
        <v>104</v>
      </c>
      <c r="M8" s="87" t="s">
        <v>104</v>
      </c>
      <c r="N8" s="87" t="s">
        <v>104</v>
      </c>
      <c r="O8" s="87" t="s">
        <v>104</v>
      </c>
      <c r="P8" s="87" t="s">
        <v>71</v>
      </c>
      <c r="Q8" s="87" t="s">
        <v>71</v>
      </c>
      <c r="R8" s="87" t="s">
        <v>71</v>
      </c>
      <c r="S8" s="87">
        <v>0.375</v>
      </c>
      <c r="T8" s="87" t="s">
        <v>71</v>
      </c>
      <c r="U8" s="87">
        <v>0.375</v>
      </c>
      <c r="V8" s="87">
        <v>0.375</v>
      </c>
      <c r="W8" s="87" t="s">
        <v>105</v>
      </c>
      <c r="X8" s="87" t="s">
        <v>71</v>
      </c>
      <c r="Y8" s="87">
        <v>0.3888888888888889</v>
      </c>
      <c r="Z8" s="87">
        <v>0.39583333333333331</v>
      </c>
      <c r="AA8" s="87" t="s">
        <v>71</v>
      </c>
      <c r="AB8" s="87" t="s">
        <v>71</v>
      </c>
      <c r="AC8" s="87">
        <v>0.79166666666666663</v>
      </c>
      <c r="AD8" s="87">
        <v>0.79166666666666663</v>
      </c>
      <c r="AE8" s="87">
        <v>0.79166666666666663</v>
      </c>
      <c r="AF8" s="87">
        <v>0.80208333333333337</v>
      </c>
      <c r="AG8" s="87">
        <v>0.94444444444444453</v>
      </c>
      <c r="AH8" s="87">
        <v>0.83333333333333337</v>
      </c>
      <c r="AI8" s="87">
        <v>0.80902777777777779</v>
      </c>
      <c r="AJ8" s="87">
        <v>0.8125</v>
      </c>
      <c r="AK8" s="87">
        <v>0.47916666666666669</v>
      </c>
      <c r="AL8" s="87">
        <v>0.80208333333333337</v>
      </c>
      <c r="AM8" s="87">
        <v>0.79861111111111116</v>
      </c>
      <c r="AN8" s="87">
        <v>0.79166666666666663</v>
      </c>
      <c r="AO8" s="87">
        <v>0.8125</v>
      </c>
      <c r="AP8" s="87" t="s">
        <v>71</v>
      </c>
      <c r="AQ8" s="87">
        <v>0.42638888888888887</v>
      </c>
      <c r="AR8" s="87">
        <v>0.38541666666666669</v>
      </c>
    </row>
    <row r="9" spans="1:44">
      <c r="A9" s="1" t="s">
        <v>29</v>
      </c>
      <c r="B9" s="1" t="s">
        <v>30</v>
      </c>
      <c r="C9" s="1" t="s">
        <v>31</v>
      </c>
      <c r="D9" s="1" t="s">
        <v>24</v>
      </c>
      <c r="E9" s="9">
        <v>45566</v>
      </c>
      <c r="F9" s="1" t="s">
        <v>36</v>
      </c>
      <c r="G9" s="65" t="s">
        <v>33</v>
      </c>
      <c r="H9" s="87" t="s">
        <v>104</v>
      </c>
      <c r="I9" s="87" t="s">
        <v>105</v>
      </c>
      <c r="J9" s="87" t="s">
        <v>104</v>
      </c>
      <c r="K9" s="87" t="s">
        <v>104</v>
      </c>
      <c r="L9" s="87" t="s">
        <v>104</v>
      </c>
      <c r="M9" s="87" t="s">
        <v>104</v>
      </c>
      <c r="N9" s="87" t="s">
        <v>104</v>
      </c>
      <c r="O9" s="87" t="s">
        <v>104</v>
      </c>
      <c r="P9" s="87" t="s">
        <v>71</v>
      </c>
      <c r="Q9" s="87" t="s">
        <v>71</v>
      </c>
      <c r="R9" s="87" t="s">
        <v>71</v>
      </c>
      <c r="S9" s="87">
        <v>0.75</v>
      </c>
      <c r="T9" s="87" t="s">
        <v>71</v>
      </c>
      <c r="U9" s="87">
        <v>0.80555555555555547</v>
      </c>
      <c r="V9" s="87">
        <v>0.79166666666666663</v>
      </c>
      <c r="W9" s="87" t="s">
        <v>105</v>
      </c>
      <c r="X9" s="87" t="s">
        <v>71</v>
      </c>
      <c r="Y9" s="87">
        <v>0.79166666666666663</v>
      </c>
      <c r="Z9" s="87">
        <v>0.79166666666666663</v>
      </c>
      <c r="AA9" s="87" t="s">
        <v>71</v>
      </c>
      <c r="AB9" s="87" t="s">
        <v>71</v>
      </c>
      <c r="AC9" s="87">
        <v>0.16666666666666666</v>
      </c>
      <c r="AD9" s="87">
        <v>0.20833333333333334</v>
      </c>
      <c r="AE9" s="87">
        <v>0.16666666666666666</v>
      </c>
      <c r="AF9" s="87">
        <v>0.18055555555555555</v>
      </c>
      <c r="AG9" s="87">
        <v>0.18055555555555555</v>
      </c>
      <c r="AH9" s="87">
        <v>0.125</v>
      </c>
      <c r="AI9" s="87">
        <v>0.14583333333333334</v>
      </c>
      <c r="AJ9" s="87">
        <v>0.1875</v>
      </c>
      <c r="AK9" s="87">
        <v>0.71527777777777779</v>
      </c>
      <c r="AL9" s="87">
        <v>0.17708333333333334</v>
      </c>
      <c r="AM9" s="87">
        <v>0.19444444444444445</v>
      </c>
      <c r="AN9" s="87">
        <v>0.20833333333333334</v>
      </c>
      <c r="AO9" s="87">
        <v>0.20833333333333334</v>
      </c>
      <c r="AP9" s="87" t="s">
        <v>71</v>
      </c>
      <c r="AQ9" s="87">
        <v>0.8125</v>
      </c>
      <c r="AR9" s="87">
        <v>0.79166666666666663</v>
      </c>
    </row>
    <row r="10" spans="1:44" s="15" customFormat="1">
      <c r="A10" s="82" t="s">
        <v>29</v>
      </c>
      <c r="B10" s="82" t="s">
        <v>30</v>
      </c>
      <c r="C10" s="82" t="s">
        <v>31</v>
      </c>
      <c r="D10" s="82" t="s">
        <v>24</v>
      </c>
      <c r="E10" s="83">
        <v>45566</v>
      </c>
      <c r="F10" s="82" t="s">
        <v>36</v>
      </c>
      <c r="G10" s="82" t="s">
        <v>72</v>
      </c>
      <c r="H10" s="88" t="s">
        <v>104</v>
      </c>
      <c r="I10" s="88" t="s">
        <v>105</v>
      </c>
      <c r="J10" s="88" t="s">
        <v>104</v>
      </c>
      <c r="K10" s="88" t="s">
        <v>104</v>
      </c>
      <c r="L10" s="88" t="s">
        <v>104</v>
      </c>
      <c r="M10" s="88" t="s">
        <v>104</v>
      </c>
      <c r="N10" s="88" t="s">
        <v>104</v>
      </c>
      <c r="O10" s="88" t="s">
        <v>104</v>
      </c>
      <c r="P10" s="88" t="s">
        <v>71</v>
      </c>
      <c r="Q10" s="88" t="s">
        <v>71</v>
      </c>
      <c r="R10" s="88" t="s">
        <v>71</v>
      </c>
      <c r="S10" s="88">
        <f>S9-S8</f>
        <v>0.375</v>
      </c>
      <c r="T10" s="88" t="s">
        <v>71</v>
      </c>
      <c r="U10" s="88">
        <f>U9-U8</f>
        <v>0.43055555555555547</v>
      </c>
      <c r="V10" s="88">
        <f t="shared" ref="V10:AN10" si="12">IF(AND(ISBLANK(V8),ISBLANK(V9)),"A",IFERROR(+MOD(V9-V8,1),V7))</f>
        <v>0.41666666666666663</v>
      </c>
      <c r="W10" s="91" t="s">
        <v>105</v>
      </c>
      <c r="X10" s="91" t="s">
        <v>71</v>
      </c>
      <c r="Y10" s="88">
        <f t="shared" ref="Y10:Z10" si="13">IF(AND(ISBLANK(Y8),ISBLANK(Y9)),"A",IFERROR(+MOD(Y9-Y8,1),Y7))</f>
        <v>0.40277777777777773</v>
      </c>
      <c r="Z10" s="88">
        <f t="shared" si="13"/>
        <v>0.39583333333333331</v>
      </c>
      <c r="AA10" s="91" t="s">
        <v>71</v>
      </c>
      <c r="AB10" s="91" t="s">
        <v>71</v>
      </c>
      <c r="AC10" s="88">
        <f t="shared" ref="AC10" si="14">IF(AND(ISBLANK(AC8),ISBLANK(AC9)),"A",IFERROR(+MOD(AC9-AC8,1),AC7))</f>
        <v>0.375</v>
      </c>
      <c r="AD10" s="88">
        <f t="shared" ref="AD10:AE10" si="15">IF(AND(ISBLANK(AD8),ISBLANK(AD9)),"A",IFERROR(+MOD(AD9-AD8,1),AD7))</f>
        <v>0.41666666666666674</v>
      </c>
      <c r="AE10" s="88">
        <f t="shared" si="15"/>
        <v>0.375</v>
      </c>
      <c r="AF10" s="88">
        <f t="shared" ref="AF10:AG10" si="16">IF(AND(ISBLANK(AF8),ISBLANK(AF9)),"A",IFERROR(+MOD(AF9-AF8,1),AF7))</f>
        <v>0.37847222222222221</v>
      </c>
      <c r="AG10" s="88">
        <f t="shared" si="16"/>
        <v>0.23611111111111105</v>
      </c>
      <c r="AH10" s="88">
        <f t="shared" ref="AH10:AI10" si="17">IF(AND(ISBLANK(AH8),ISBLANK(AH9)),"A",IFERROR(+MOD(AH9-AH8,1),AH7))</f>
        <v>0.29166666666666663</v>
      </c>
      <c r="AI10" s="88">
        <f t="shared" si="17"/>
        <v>0.33680555555555558</v>
      </c>
      <c r="AJ10" s="88">
        <f t="shared" ref="AJ10:AK10" si="18">IF(AND(ISBLANK(AJ8),ISBLANK(AJ9)),"A",IFERROR(+MOD(AJ9-AJ8,1),AJ7))</f>
        <v>0.375</v>
      </c>
      <c r="AK10" s="88">
        <f t="shared" si="18"/>
        <v>0.2361111111111111</v>
      </c>
      <c r="AL10" s="88">
        <f t="shared" ref="AL10:AM10" si="19">IF(AND(ISBLANK(AL8),ISBLANK(AL9)),"A",IFERROR(+MOD(AL9-AL8,1),AL7))</f>
        <v>0.375</v>
      </c>
      <c r="AM10" s="88">
        <f t="shared" si="19"/>
        <v>0.39583333333333326</v>
      </c>
      <c r="AN10" s="88">
        <f t="shared" si="12"/>
        <v>0.41666666666666674</v>
      </c>
      <c r="AO10" s="88">
        <f t="shared" ref="AO10:AP10" si="20">IF(AND(ISBLANK(AO8),ISBLANK(AO9)),"A",IFERROR(+MOD(AO9-AO8,1),AO7))</f>
        <v>0.39583333333333337</v>
      </c>
      <c r="AP10" s="88" t="s">
        <v>71</v>
      </c>
      <c r="AQ10" s="88">
        <f t="shared" ref="AQ10:AR10" si="21">IF(AND(ISBLANK(AQ8),ISBLANK(AQ9)),"A",IFERROR(+MOD(AQ9-AQ8,1),AQ7))</f>
        <v>0.38611111111111113</v>
      </c>
      <c r="AR10" s="88">
        <f t="shared" si="21"/>
        <v>0.40624999999999994</v>
      </c>
    </row>
    <row r="11" spans="1:44" s="69" customFormat="1">
      <c r="A11" s="70" t="s">
        <v>39</v>
      </c>
      <c r="B11" s="70" t="s">
        <v>35</v>
      </c>
      <c r="C11" s="70" t="s">
        <v>23</v>
      </c>
      <c r="D11" s="70" t="s">
        <v>24</v>
      </c>
      <c r="E11" s="71"/>
      <c r="F11" s="70" t="s">
        <v>36</v>
      </c>
      <c r="G11" s="72" t="s">
        <v>13</v>
      </c>
      <c r="H11" s="86" t="s">
        <v>104</v>
      </c>
      <c r="I11" s="86" t="s">
        <v>105</v>
      </c>
      <c r="J11" s="86" t="s">
        <v>104</v>
      </c>
      <c r="K11" s="86" t="s">
        <v>34</v>
      </c>
      <c r="L11" s="86" t="s">
        <v>104</v>
      </c>
      <c r="M11" s="86" t="s">
        <v>34</v>
      </c>
      <c r="N11" s="86" t="s">
        <v>34</v>
      </c>
      <c r="O11" s="86" t="s">
        <v>34</v>
      </c>
      <c r="P11" s="86" t="s">
        <v>34</v>
      </c>
      <c r="Q11" s="86" t="s">
        <v>34</v>
      </c>
      <c r="R11" s="86" t="s">
        <v>104</v>
      </c>
      <c r="S11" s="86" t="s">
        <v>34</v>
      </c>
      <c r="T11" s="86" t="s">
        <v>34</v>
      </c>
      <c r="U11" s="86" t="s">
        <v>34</v>
      </c>
      <c r="V11" s="86" t="s">
        <v>34</v>
      </c>
      <c r="W11" s="86" t="s">
        <v>105</v>
      </c>
      <c r="X11" s="86" t="s">
        <v>71</v>
      </c>
      <c r="Y11" s="86" t="s">
        <v>34</v>
      </c>
      <c r="Z11" s="86" t="s">
        <v>34</v>
      </c>
      <c r="AA11" s="86" t="s">
        <v>34</v>
      </c>
      <c r="AB11" s="86" t="s">
        <v>34</v>
      </c>
      <c r="AC11" s="86" t="s">
        <v>34</v>
      </c>
      <c r="AD11" s="86" t="s">
        <v>34</v>
      </c>
      <c r="AE11" s="86" t="s">
        <v>34</v>
      </c>
      <c r="AF11" s="86" t="s">
        <v>34</v>
      </c>
      <c r="AG11" s="86" t="s">
        <v>34</v>
      </c>
      <c r="AH11" s="86" t="s">
        <v>34</v>
      </c>
      <c r="AI11" s="86" t="s">
        <v>34</v>
      </c>
      <c r="AJ11" s="86" t="s">
        <v>34</v>
      </c>
      <c r="AK11" s="86" t="s">
        <v>34</v>
      </c>
      <c r="AL11" s="86" t="s">
        <v>71</v>
      </c>
      <c r="AM11" s="86" t="s">
        <v>34</v>
      </c>
      <c r="AN11" s="86" t="s">
        <v>34</v>
      </c>
      <c r="AO11" s="86" t="s">
        <v>71</v>
      </c>
      <c r="AP11" s="86" t="s">
        <v>71</v>
      </c>
      <c r="AQ11" s="86" t="s">
        <v>34</v>
      </c>
      <c r="AR11" s="86" t="s">
        <v>34</v>
      </c>
    </row>
    <row r="12" spans="1:44">
      <c r="A12" s="1" t="s">
        <v>39</v>
      </c>
      <c r="B12" s="1" t="s">
        <v>35</v>
      </c>
      <c r="C12" s="1" t="s">
        <v>23</v>
      </c>
      <c r="D12" s="1" t="s">
        <v>24</v>
      </c>
      <c r="E12" s="9"/>
      <c r="F12" s="1" t="s">
        <v>36</v>
      </c>
      <c r="G12" s="65" t="s">
        <v>32</v>
      </c>
      <c r="H12" s="87" t="s">
        <v>104</v>
      </c>
      <c r="I12" s="87" t="s">
        <v>105</v>
      </c>
      <c r="J12" s="87" t="s">
        <v>104</v>
      </c>
      <c r="K12" s="87">
        <v>0.375</v>
      </c>
      <c r="L12" s="87" t="s">
        <v>104</v>
      </c>
      <c r="M12" s="87">
        <v>0.375</v>
      </c>
      <c r="N12" s="87">
        <v>0.77777777777777779</v>
      </c>
      <c r="O12" s="87">
        <v>0.375</v>
      </c>
      <c r="P12" s="87">
        <v>0.375</v>
      </c>
      <c r="Q12" s="87">
        <v>0.79166666666666663</v>
      </c>
      <c r="R12" s="86" t="s">
        <v>104</v>
      </c>
      <c r="S12" s="87">
        <v>0.38541666666666669</v>
      </c>
      <c r="T12" s="87">
        <v>0.39583333333333331</v>
      </c>
      <c r="U12" s="87">
        <v>0.375</v>
      </c>
      <c r="V12" s="87">
        <v>0.375</v>
      </c>
      <c r="W12" s="87" t="s">
        <v>105</v>
      </c>
      <c r="X12" s="87" t="s">
        <v>71</v>
      </c>
      <c r="Y12" s="87">
        <v>0.375</v>
      </c>
      <c r="Z12" s="87">
        <v>0.375</v>
      </c>
      <c r="AA12" s="87">
        <v>0.375</v>
      </c>
      <c r="AB12" s="87">
        <v>0.36805555555555558</v>
      </c>
      <c r="AC12" s="87">
        <v>0.41319444444444442</v>
      </c>
      <c r="AD12" s="87">
        <v>0.41666666666666669</v>
      </c>
      <c r="AE12" s="87">
        <v>0.54166666666666663</v>
      </c>
      <c r="AF12" s="87">
        <v>0.375</v>
      </c>
      <c r="AG12" s="87">
        <v>0.3888888888888889</v>
      </c>
      <c r="AH12" s="87">
        <v>0.3888888888888889</v>
      </c>
      <c r="AI12" s="87">
        <v>0.375</v>
      </c>
      <c r="AJ12" s="87">
        <v>0.38194444444444442</v>
      </c>
      <c r="AK12" s="87">
        <v>0.3888888888888889</v>
      </c>
      <c r="AL12" s="87" t="s">
        <v>71</v>
      </c>
      <c r="AM12" s="87">
        <v>0.39583333333333331</v>
      </c>
      <c r="AN12" s="87">
        <v>0.79166666666666663</v>
      </c>
      <c r="AO12" s="87" t="s">
        <v>71</v>
      </c>
      <c r="AP12" s="87" t="s">
        <v>71</v>
      </c>
      <c r="AQ12" s="87">
        <v>0.3888888888888889</v>
      </c>
      <c r="AR12" s="87">
        <v>0.44791666666666669</v>
      </c>
    </row>
    <row r="13" spans="1:44">
      <c r="A13" s="1" t="s">
        <v>39</v>
      </c>
      <c r="B13" s="1" t="s">
        <v>35</v>
      </c>
      <c r="C13" s="1" t="s">
        <v>23</v>
      </c>
      <c r="D13" s="1" t="s">
        <v>24</v>
      </c>
      <c r="E13" s="9"/>
      <c r="F13" s="1" t="s">
        <v>36</v>
      </c>
      <c r="G13" s="65" t="s">
        <v>33</v>
      </c>
      <c r="H13" s="87" t="s">
        <v>104</v>
      </c>
      <c r="I13" s="87" t="s">
        <v>105</v>
      </c>
      <c r="J13" s="87" t="s">
        <v>104</v>
      </c>
      <c r="K13" s="87">
        <v>0.79166666666666663</v>
      </c>
      <c r="L13" s="87" t="s">
        <v>104</v>
      </c>
      <c r="M13" s="87">
        <v>0.87708333333333333</v>
      </c>
      <c r="N13" s="87">
        <v>0.20833333333333334</v>
      </c>
      <c r="O13" s="87">
        <v>0.875</v>
      </c>
      <c r="P13" s="87">
        <v>0.21527777777777779</v>
      </c>
      <c r="Q13" s="87">
        <v>0.20833333333333334</v>
      </c>
      <c r="R13" s="86" t="s">
        <v>104</v>
      </c>
      <c r="S13" s="87">
        <v>0.88194444444444453</v>
      </c>
      <c r="T13" s="87">
        <v>0.8125</v>
      </c>
      <c r="U13" s="87">
        <v>0.80208333333333337</v>
      </c>
      <c r="V13" s="87">
        <v>0.85416666666666663</v>
      </c>
      <c r="W13" s="87" t="s">
        <v>105</v>
      </c>
      <c r="X13" s="87" t="s">
        <v>71</v>
      </c>
      <c r="Y13" s="87">
        <v>0.79166666666666663</v>
      </c>
      <c r="Z13" s="87">
        <v>0.80208333333333337</v>
      </c>
      <c r="AA13" s="87">
        <v>0.81944444444444453</v>
      </c>
      <c r="AB13" s="87">
        <v>0.85416666666666663</v>
      </c>
      <c r="AC13" s="87">
        <v>0.77083333333333337</v>
      </c>
      <c r="AD13" s="87">
        <v>0.79166666666666663</v>
      </c>
      <c r="AE13" s="87">
        <v>0.875</v>
      </c>
      <c r="AF13" s="87">
        <v>0.84027777777777779</v>
      </c>
      <c r="AG13" s="87">
        <v>0.77083333333333337</v>
      </c>
      <c r="AH13" s="87">
        <v>0.80555555555555547</v>
      </c>
      <c r="AI13" s="87">
        <v>0.80208333333333337</v>
      </c>
      <c r="AJ13" s="87">
        <v>0.83333333333333337</v>
      </c>
      <c r="AK13" s="87">
        <v>0.75</v>
      </c>
      <c r="AL13" s="87" t="s">
        <v>71</v>
      </c>
      <c r="AM13" s="87">
        <v>0.16666666666666666</v>
      </c>
      <c r="AN13" s="87">
        <v>0.25</v>
      </c>
      <c r="AO13" s="87" t="s">
        <v>71</v>
      </c>
      <c r="AP13" s="87" t="s">
        <v>71</v>
      </c>
      <c r="AQ13" s="87">
        <v>0.8125</v>
      </c>
      <c r="AR13" s="87">
        <v>0.77083333333333337</v>
      </c>
    </row>
    <row r="14" spans="1:44" s="15" customFormat="1">
      <c r="A14" s="82" t="s">
        <v>39</v>
      </c>
      <c r="B14" s="82" t="s">
        <v>35</v>
      </c>
      <c r="C14" s="82" t="s">
        <v>23</v>
      </c>
      <c r="D14" s="82" t="s">
        <v>24</v>
      </c>
      <c r="E14" s="83"/>
      <c r="F14" s="82" t="s">
        <v>36</v>
      </c>
      <c r="G14" s="82" t="s">
        <v>72</v>
      </c>
      <c r="H14" s="88" t="s">
        <v>104</v>
      </c>
      <c r="I14" s="88" t="s">
        <v>105</v>
      </c>
      <c r="J14" s="88" t="s">
        <v>104</v>
      </c>
      <c r="K14" s="88">
        <f t="shared" ref="K14:V14" si="22">IF(AND(ISBLANK(K12),ISBLANK(K13)),"A",IFERROR(+MOD(K13-K12,1),K11))</f>
        <v>0.41666666666666663</v>
      </c>
      <c r="L14" s="88" t="s">
        <v>104</v>
      </c>
      <c r="M14" s="88">
        <f t="shared" si="22"/>
        <v>0.50208333333333333</v>
      </c>
      <c r="N14" s="88">
        <f t="shared" si="22"/>
        <v>0.43055555555555558</v>
      </c>
      <c r="O14" s="88">
        <f t="shared" ref="O14:Q14" si="23">IF(AND(ISBLANK(O12),ISBLANK(O13)),"A",IFERROR(+MOD(O13-O12,1),O11))</f>
        <v>0.5</v>
      </c>
      <c r="P14" s="88">
        <f t="shared" si="23"/>
        <v>0.84027777777777779</v>
      </c>
      <c r="Q14" s="88">
        <f t="shared" si="23"/>
        <v>0.41666666666666674</v>
      </c>
      <c r="R14" s="88" t="s">
        <v>104</v>
      </c>
      <c r="S14" s="88">
        <f t="shared" ref="S14:T14" si="24">IF(AND(ISBLANK(S12),ISBLANK(S13)),"A",IFERROR(+MOD(S13-S12,1),S11))</f>
        <v>0.49652777777777785</v>
      </c>
      <c r="T14" s="88">
        <f t="shared" si="24"/>
        <v>0.41666666666666669</v>
      </c>
      <c r="U14" s="88">
        <f t="shared" si="22"/>
        <v>0.42708333333333337</v>
      </c>
      <c r="V14" s="88">
        <f t="shared" si="22"/>
        <v>0.47916666666666663</v>
      </c>
      <c r="W14" s="91" t="s">
        <v>105</v>
      </c>
      <c r="X14" s="91" t="s">
        <v>71</v>
      </c>
      <c r="Y14" s="88">
        <f t="shared" ref="Y14:Z14" si="25">IF(AND(ISBLANK(Y12),ISBLANK(Y13)),"A",IFERROR(+MOD(Y13-Y12,1),Y11))</f>
        <v>0.41666666666666663</v>
      </c>
      <c r="Z14" s="88">
        <f t="shared" si="25"/>
        <v>0.42708333333333337</v>
      </c>
      <c r="AA14" s="88">
        <f t="shared" ref="AA14:AB14" si="26">IF(AND(ISBLANK(AA12),ISBLANK(AA13)),"A",IFERROR(+MOD(AA13-AA12,1),AA11))</f>
        <v>0.44444444444444453</v>
      </c>
      <c r="AB14" s="88">
        <f t="shared" si="26"/>
        <v>0.48611111111111105</v>
      </c>
      <c r="AC14" s="88">
        <f t="shared" ref="AC14:AD14" si="27">IF(AND(ISBLANK(AC12),ISBLANK(AC13)),"A",IFERROR(+MOD(AC13-AC12,1),AC11))</f>
        <v>0.35763888888888895</v>
      </c>
      <c r="AD14" s="88">
        <f t="shared" si="27"/>
        <v>0.37499999999999994</v>
      </c>
      <c r="AE14" s="88">
        <f t="shared" ref="AE14:AF14" si="28">IF(AND(ISBLANK(AE12),ISBLANK(AE13)),"A",IFERROR(+MOD(AE13-AE12,1),AE11))</f>
        <v>0.33333333333333337</v>
      </c>
      <c r="AF14" s="88">
        <f t="shared" si="28"/>
        <v>0.46527777777777779</v>
      </c>
      <c r="AG14" s="88">
        <f t="shared" ref="AG14:AH14" si="29">IF(AND(ISBLANK(AG12),ISBLANK(AG13)),"A",IFERROR(+MOD(AG13-AG12,1),AG11))</f>
        <v>0.38194444444444448</v>
      </c>
      <c r="AH14" s="88">
        <f t="shared" si="29"/>
        <v>0.41666666666666657</v>
      </c>
      <c r="AI14" s="88">
        <f t="shared" ref="AI14:AJ14" si="30">IF(AND(ISBLANK(AI12),ISBLANK(AI13)),"A",IFERROR(+MOD(AI13-AI12,1),AI11))</f>
        <v>0.42708333333333337</v>
      </c>
      <c r="AJ14" s="88">
        <f t="shared" si="30"/>
        <v>0.45138888888888895</v>
      </c>
      <c r="AK14" s="88">
        <f t="shared" ref="AK14:AN14" si="31">IF(AND(ISBLANK(AK12),ISBLANK(AK13)),"A",IFERROR(+MOD(AK13-AK12,1),AK11))</f>
        <v>0.3611111111111111</v>
      </c>
      <c r="AL14" s="88" t="s">
        <v>71</v>
      </c>
      <c r="AM14" s="88">
        <f t="shared" si="31"/>
        <v>0.77083333333333337</v>
      </c>
      <c r="AN14" s="88">
        <f t="shared" si="31"/>
        <v>0.45833333333333337</v>
      </c>
      <c r="AO14" s="88" t="s">
        <v>71</v>
      </c>
      <c r="AP14" s="88" t="s">
        <v>71</v>
      </c>
      <c r="AQ14" s="88">
        <f t="shared" ref="AQ14:AR14" si="32">IF(AND(ISBLANK(AQ12),ISBLANK(AQ13)),"A",IFERROR(+MOD(AQ13-AQ12,1),AQ11))</f>
        <v>0.4236111111111111</v>
      </c>
      <c r="AR14" s="88">
        <f t="shared" si="32"/>
        <v>0.32291666666666669</v>
      </c>
    </row>
    <row r="15" spans="1:44">
      <c r="A15" s="70"/>
      <c r="B15" s="70" t="s">
        <v>81</v>
      </c>
      <c r="C15" s="25" t="s">
        <v>103</v>
      </c>
      <c r="D15" s="70" t="s">
        <v>24</v>
      </c>
      <c r="E15" s="71"/>
      <c r="F15" s="70" t="s">
        <v>36</v>
      </c>
      <c r="G15" s="72" t="s">
        <v>13</v>
      </c>
      <c r="H15" s="86" t="s">
        <v>104</v>
      </c>
      <c r="I15" s="86" t="s">
        <v>105</v>
      </c>
      <c r="J15" s="86" t="s">
        <v>34</v>
      </c>
      <c r="K15" s="86" t="s">
        <v>34</v>
      </c>
      <c r="L15" s="86" t="s">
        <v>34</v>
      </c>
      <c r="M15" s="86" t="s">
        <v>34</v>
      </c>
      <c r="N15" s="86" t="s">
        <v>34</v>
      </c>
      <c r="O15" s="86" t="s">
        <v>34</v>
      </c>
      <c r="P15" s="86" t="s">
        <v>34</v>
      </c>
      <c r="Q15" s="86" t="s">
        <v>34</v>
      </c>
      <c r="R15" s="86" t="s">
        <v>34</v>
      </c>
      <c r="S15" s="86" t="s">
        <v>34</v>
      </c>
      <c r="T15" s="86" t="s">
        <v>34</v>
      </c>
      <c r="U15" s="86" t="s">
        <v>34</v>
      </c>
      <c r="V15" s="86" t="s">
        <v>34</v>
      </c>
      <c r="W15" s="86" t="s">
        <v>105</v>
      </c>
      <c r="X15" s="86" t="s">
        <v>34</v>
      </c>
      <c r="Y15" s="86" t="s">
        <v>34</v>
      </c>
      <c r="Z15" s="86" t="s">
        <v>34</v>
      </c>
      <c r="AA15" s="86" t="s">
        <v>34</v>
      </c>
      <c r="AB15" s="86" t="s">
        <v>34</v>
      </c>
      <c r="AC15" s="86" t="s">
        <v>34</v>
      </c>
      <c r="AD15" s="86" t="s">
        <v>34</v>
      </c>
      <c r="AE15" s="86" t="s">
        <v>104</v>
      </c>
      <c r="AF15" s="86" t="s">
        <v>34</v>
      </c>
      <c r="AG15" s="86" t="s">
        <v>34</v>
      </c>
      <c r="AH15" s="86" t="s">
        <v>34</v>
      </c>
      <c r="AI15" s="86" t="s">
        <v>34</v>
      </c>
      <c r="AJ15" s="86" t="s">
        <v>104</v>
      </c>
      <c r="AK15" s="86" t="s">
        <v>105</v>
      </c>
      <c r="AL15" s="86" t="s">
        <v>34</v>
      </c>
      <c r="AM15" s="86" t="s">
        <v>34</v>
      </c>
      <c r="AN15" s="86" t="s">
        <v>34</v>
      </c>
      <c r="AO15" s="86" t="s">
        <v>34</v>
      </c>
      <c r="AP15" s="94" t="s">
        <v>34</v>
      </c>
      <c r="AQ15" s="94" t="s">
        <v>34</v>
      </c>
      <c r="AR15" s="86" t="s">
        <v>34</v>
      </c>
    </row>
    <row r="16" spans="1:44">
      <c r="A16" s="1"/>
      <c r="B16" s="70" t="s">
        <v>81</v>
      </c>
      <c r="C16" s="25" t="s">
        <v>103</v>
      </c>
      <c r="D16" s="1" t="s">
        <v>24</v>
      </c>
      <c r="E16" s="9"/>
      <c r="F16" s="1" t="s">
        <v>36</v>
      </c>
      <c r="G16" s="65" t="s">
        <v>32</v>
      </c>
      <c r="H16" s="87" t="s">
        <v>104</v>
      </c>
      <c r="I16" s="87" t="s">
        <v>105</v>
      </c>
      <c r="J16" s="87">
        <v>0.39930555555555558</v>
      </c>
      <c r="K16" s="87">
        <v>0.375</v>
      </c>
      <c r="L16" s="87">
        <v>0.375</v>
      </c>
      <c r="M16" s="87">
        <v>0.375</v>
      </c>
      <c r="N16" s="87">
        <v>0.375</v>
      </c>
      <c r="O16" s="87">
        <v>0.375</v>
      </c>
      <c r="P16" s="87">
        <v>0.375</v>
      </c>
      <c r="Q16" s="87">
        <v>0.375</v>
      </c>
      <c r="R16" s="87">
        <v>0.38194444444444442</v>
      </c>
      <c r="S16" s="87">
        <v>0.375</v>
      </c>
      <c r="T16" s="87">
        <v>0.375</v>
      </c>
      <c r="U16" s="87">
        <v>0.39583333333333331</v>
      </c>
      <c r="V16" s="87">
        <v>0.375</v>
      </c>
      <c r="W16" s="87" t="s">
        <v>105</v>
      </c>
      <c r="X16" s="87">
        <v>0.44444444444444442</v>
      </c>
      <c r="Y16" s="87">
        <v>0.375</v>
      </c>
      <c r="Z16" s="87">
        <v>0.375</v>
      </c>
      <c r="AA16" s="87">
        <v>0.375</v>
      </c>
      <c r="AB16" s="87">
        <v>0.38194444444444442</v>
      </c>
      <c r="AC16" s="87">
        <v>0.3888888888888889</v>
      </c>
      <c r="AD16" s="87">
        <v>0.40972222222222227</v>
      </c>
      <c r="AE16" s="87" t="s">
        <v>104</v>
      </c>
      <c r="AF16" s="87">
        <v>0.4375</v>
      </c>
      <c r="AG16" s="87">
        <v>0.3888888888888889</v>
      </c>
      <c r="AH16" s="87">
        <v>0.38194444444444442</v>
      </c>
      <c r="AI16" s="87">
        <v>0.375</v>
      </c>
      <c r="AJ16" s="87" t="s">
        <v>104</v>
      </c>
      <c r="AK16" s="86" t="s">
        <v>105</v>
      </c>
      <c r="AL16" s="87">
        <v>0.43055555555555558</v>
      </c>
      <c r="AM16" s="87">
        <v>0.39583333333333331</v>
      </c>
      <c r="AN16" s="87">
        <v>0.375</v>
      </c>
      <c r="AO16" s="87">
        <v>0.375</v>
      </c>
      <c r="AP16" s="87">
        <v>0.38541666666666669</v>
      </c>
      <c r="AQ16" s="87">
        <v>0.38541666666666669</v>
      </c>
      <c r="AR16" s="87">
        <v>0.44791666666666669</v>
      </c>
    </row>
    <row r="17" spans="1:44" s="15" customFormat="1">
      <c r="A17" s="1"/>
      <c r="B17" s="70" t="s">
        <v>81</v>
      </c>
      <c r="C17" s="25" t="s">
        <v>103</v>
      </c>
      <c r="D17" s="1" t="s">
        <v>24</v>
      </c>
      <c r="E17" s="9"/>
      <c r="F17" s="1" t="s">
        <v>36</v>
      </c>
      <c r="G17" s="65" t="s">
        <v>33</v>
      </c>
      <c r="H17" s="87" t="s">
        <v>104</v>
      </c>
      <c r="I17" s="87" t="s">
        <v>105</v>
      </c>
      <c r="J17" s="87">
        <v>0.84027777777777779</v>
      </c>
      <c r="K17" s="87">
        <v>0.83333333333333337</v>
      </c>
      <c r="L17" s="87">
        <v>0.86111111111111116</v>
      </c>
      <c r="M17" s="87">
        <v>0.85763888888888884</v>
      </c>
      <c r="N17" s="87">
        <v>0.875</v>
      </c>
      <c r="O17" s="87">
        <v>0.92361111111111116</v>
      </c>
      <c r="P17" s="87">
        <v>0.61805555555555558</v>
      </c>
      <c r="Q17" s="87">
        <v>0.83333333333333337</v>
      </c>
      <c r="R17" s="87">
        <v>1.0243055555555556</v>
      </c>
      <c r="S17" s="87">
        <v>0.9375</v>
      </c>
      <c r="T17" s="87">
        <v>0.85763888888888884</v>
      </c>
      <c r="U17" s="92">
        <v>0.80902777777777779</v>
      </c>
      <c r="V17" s="92">
        <v>0.85416666666666663</v>
      </c>
      <c r="W17" s="87" t="s">
        <v>105</v>
      </c>
      <c r="X17" s="92">
        <v>0.82291666666666663</v>
      </c>
      <c r="Y17" s="92">
        <v>0.91666666666666663</v>
      </c>
      <c r="Z17" s="92">
        <v>0.91666666666666663</v>
      </c>
      <c r="AA17" s="87">
        <v>0.81944444444444453</v>
      </c>
      <c r="AB17" s="87">
        <v>0.89583333333333337</v>
      </c>
      <c r="AC17" s="87">
        <v>0.97569444444444453</v>
      </c>
      <c r="AD17" s="87">
        <v>0.78125</v>
      </c>
      <c r="AE17" s="87" t="s">
        <v>104</v>
      </c>
      <c r="AF17" s="87">
        <v>0.84375</v>
      </c>
      <c r="AG17" s="87">
        <v>0.88194444444444453</v>
      </c>
      <c r="AH17" s="87">
        <v>0.85763888888888884</v>
      </c>
      <c r="AI17" s="87">
        <v>0.875</v>
      </c>
      <c r="AJ17" s="87" t="s">
        <v>104</v>
      </c>
      <c r="AK17" s="86" t="s">
        <v>105</v>
      </c>
      <c r="AL17" s="87">
        <v>0.95486111111111116</v>
      </c>
      <c r="AM17" s="87">
        <v>0.92361111111111116</v>
      </c>
      <c r="AN17" s="87">
        <v>0.84375</v>
      </c>
      <c r="AO17" s="87">
        <v>0.84375</v>
      </c>
      <c r="AP17" s="87">
        <v>4.8611111111111112E-2</v>
      </c>
      <c r="AQ17" s="87">
        <v>0.94444444444444453</v>
      </c>
      <c r="AR17" s="87">
        <v>0.77083333333333337</v>
      </c>
    </row>
    <row r="18" spans="1:44">
      <c r="A18" s="82"/>
      <c r="B18" s="82" t="s">
        <v>81</v>
      </c>
      <c r="C18" s="82" t="s">
        <v>103</v>
      </c>
      <c r="D18" s="82" t="s">
        <v>24</v>
      </c>
      <c r="E18" s="83"/>
      <c r="F18" s="82" t="s">
        <v>36</v>
      </c>
      <c r="G18" s="82" t="s">
        <v>72</v>
      </c>
      <c r="H18" s="88" t="s">
        <v>104</v>
      </c>
      <c r="I18" s="88" t="s">
        <v>105</v>
      </c>
      <c r="J18" s="88">
        <f t="shared" ref="J18:AP18" si="33">IF(AND(ISBLANK(J16),ISBLANK(J17)),"A",IFERROR(+MOD(J17-J16,1),J15))</f>
        <v>0.44097222222222221</v>
      </c>
      <c r="K18" s="88">
        <f t="shared" si="33"/>
        <v>0.45833333333333337</v>
      </c>
      <c r="L18" s="88">
        <f t="shared" si="33"/>
        <v>0.48611111111111116</v>
      </c>
      <c r="M18" s="88">
        <f t="shared" si="33"/>
        <v>0.48263888888888884</v>
      </c>
      <c r="N18" s="88">
        <f t="shared" si="33"/>
        <v>0.5</v>
      </c>
      <c r="O18" s="88">
        <f t="shared" ref="O18:R18" si="34">IF(AND(ISBLANK(O16),ISBLANK(O17)),"A",IFERROR(+MOD(O17-O16,1),O15))</f>
        <v>0.54861111111111116</v>
      </c>
      <c r="P18" s="88">
        <f t="shared" si="34"/>
        <v>0.24305555555555558</v>
      </c>
      <c r="Q18" s="88">
        <f t="shared" si="34"/>
        <v>0.45833333333333337</v>
      </c>
      <c r="R18" s="88">
        <f t="shared" si="34"/>
        <v>0.64236111111111116</v>
      </c>
      <c r="S18" s="88">
        <f t="shared" ref="S18:T18" si="35">IF(AND(ISBLANK(S16),ISBLANK(S17)),"A",IFERROR(+MOD(S17-S16,1),S15))</f>
        <v>0.5625</v>
      </c>
      <c r="T18" s="88">
        <f t="shared" si="35"/>
        <v>0.48263888888888884</v>
      </c>
      <c r="U18" s="88">
        <f t="shared" si="33"/>
        <v>0.41319444444444448</v>
      </c>
      <c r="V18" s="88">
        <f t="shared" si="33"/>
        <v>0.47916666666666663</v>
      </c>
      <c r="W18" s="91" t="s">
        <v>105</v>
      </c>
      <c r="X18" s="88">
        <f t="shared" ref="X18:Y18" si="36">IF(AND(ISBLANK(X16),ISBLANK(X17)),"A",IFERROR(+MOD(X17-X16,1),X15))</f>
        <v>0.37847222222222221</v>
      </c>
      <c r="Y18" s="88">
        <f t="shared" si="36"/>
        <v>0.54166666666666663</v>
      </c>
      <c r="Z18" s="88">
        <f t="shared" si="33"/>
        <v>0.54166666666666663</v>
      </c>
      <c r="AA18" s="88">
        <f t="shared" ref="AA18:AB18" si="37">IF(AND(ISBLANK(AA16),ISBLANK(AA17)),"A",IFERROR(+MOD(AA17-AA16,1),AA15))</f>
        <v>0.44444444444444453</v>
      </c>
      <c r="AB18" s="88">
        <f t="shared" si="37"/>
        <v>0.51388888888888895</v>
      </c>
      <c r="AC18" s="88">
        <f t="shared" ref="AC18:AD18" si="38">IF(AND(ISBLANK(AC16),ISBLANK(AC17)),"A",IFERROR(+MOD(AC17-AC16,1),AC15))</f>
        <v>0.58680555555555558</v>
      </c>
      <c r="AD18" s="88">
        <f t="shared" si="38"/>
        <v>0.37152777777777773</v>
      </c>
      <c r="AE18" s="91" t="s">
        <v>104</v>
      </c>
      <c r="AF18" s="88">
        <f t="shared" ref="AF18:AG18" si="39">IF(AND(ISBLANK(AF16),ISBLANK(AF17)),"A",IFERROR(+MOD(AF17-AF16,1),AF15))</f>
        <v>0.40625</v>
      </c>
      <c r="AG18" s="88">
        <f t="shared" si="39"/>
        <v>0.49305555555555564</v>
      </c>
      <c r="AH18" s="88">
        <f t="shared" ref="AH18:AI18" si="40">IF(AND(ISBLANK(AH16),ISBLANK(AH17)),"A",IFERROR(+MOD(AH17-AH16,1),AH15))</f>
        <v>0.47569444444444442</v>
      </c>
      <c r="AI18" s="88">
        <f t="shared" si="40"/>
        <v>0.5</v>
      </c>
      <c r="AJ18" s="88" t="s">
        <v>104</v>
      </c>
      <c r="AK18" s="91" t="s">
        <v>105</v>
      </c>
      <c r="AL18" s="88">
        <f t="shared" ref="AL18:AM18" si="41">IF(AND(ISBLANK(AL16),ISBLANK(AL17)),"A",IFERROR(+MOD(AL17-AL16,1),AL15))</f>
        <v>0.52430555555555558</v>
      </c>
      <c r="AM18" s="88">
        <f t="shared" si="41"/>
        <v>0.5277777777777779</v>
      </c>
      <c r="AN18" s="88">
        <f t="shared" ref="AN18:AO18" si="42">IF(AND(ISBLANK(AN16),ISBLANK(AN17)),"A",IFERROR(+MOD(AN17-AN16,1),AN15))</f>
        <v>0.46875</v>
      </c>
      <c r="AO18" s="88">
        <f t="shared" si="42"/>
        <v>0.46875</v>
      </c>
      <c r="AP18" s="88">
        <f t="shared" si="33"/>
        <v>0.66319444444444442</v>
      </c>
      <c r="AQ18" s="88">
        <f t="shared" ref="AQ18:AR18" si="43">IF(AND(ISBLANK(AQ16),ISBLANK(AQ17)),"A",IFERROR(+MOD(AQ17-AQ16,1),AQ15))</f>
        <v>0.5590277777777779</v>
      </c>
      <c r="AR18" s="88">
        <f t="shared" si="43"/>
        <v>0.32291666666666669</v>
      </c>
    </row>
  </sheetData>
  <phoneticPr fontId="11" type="noConversion"/>
  <conditionalFormatting sqref="A1:G2 B8:F10 B12:F14 D4:G6 H5:H6 H8:I10">
    <cfRule type="containsBlanks" dxfId="709" priority="2284">
      <formula>LEN(TRIM(A1))=0</formula>
    </cfRule>
    <cfRule type="containsBlanks" priority="2285">
      <formula>LEN(TRIM(A1))=0</formula>
    </cfRule>
  </conditionalFormatting>
  <conditionalFormatting sqref="D3:G3">
    <cfRule type="containsBlanks" dxfId="708" priority="2277">
      <formula>LEN(TRIM(D3))=0</formula>
    </cfRule>
    <cfRule type="containsBlanks" priority="2278">
      <formula>LEN(TRIM(D3))=0</formula>
    </cfRule>
  </conditionalFormatting>
  <conditionalFormatting sqref="B7:F7">
    <cfRule type="containsBlanks" dxfId="707" priority="2275">
      <formula>LEN(TRIM(B7))=0</formula>
    </cfRule>
    <cfRule type="containsBlanks" priority="2276">
      <formula>LEN(TRIM(B7))=0</formula>
    </cfRule>
  </conditionalFormatting>
  <conditionalFormatting sqref="B11:F11">
    <cfRule type="containsBlanks" dxfId="706" priority="2273">
      <formula>LEN(TRIM(B11))=0</formula>
    </cfRule>
    <cfRule type="containsBlanks" priority="2274">
      <formula>LEN(TRIM(B11))=0</formula>
    </cfRule>
  </conditionalFormatting>
  <conditionalFormatting sqref="G8:G9 G12:G13">
    <cfRule type="containsBlanks" dxfId="705" priority="2271">
      <formula>LEN(TRIM(G8))=0</formula>
    </cfRule>
    <cfRule type="containsBlanks" priority="2272">
      <formula>LEN(TRIM(G8))=0</formula>
    </cfRule>
  </conditionalFormatting>
  <conditionalFormatting sqref="G7 G11">
    <cfRule type="containsBlanks" dxfId="704" priority="2269">
      <formula>LEN(TRIM(G7))=0</formula>
    </cfRule>
    <cfRule type="containsBlanks" priority="2270">
      <formula>LEN(TRIM(G7))=0</formula>
    </cfRule>
  </conditionalFormatting>
  <conditionalFormatting sqref="A4:A6">
    <cfRule type="containsBlanks" dxfId="703" priority="2267">
      <formula>LEN(TRIM(A4))=0</formula>
    </cfRule>
    <cfRule type="containsBlanks" priority="2268">
      <formula>LEN(TRIM(A4))=0</formula>
    </cfRule>
  </conditionalFormatting>
  <conditionalFormatting sqref="A3">
    <cfRule type="containsBlanks" dxfId="702" priority="2265">
      <formula>LEN(TRIM(A3))=0</formula>
    </cfRule>
    <cfRule type="containsBlanks" priority="2266">
      <formula>LEN(TRIM(A3))=0</formula>
    </cfRule>
  </conditionalFormatting>
  <conditionalFormatting sqref="B4:B6">
    <cfRule type="containsBlanks" dxfId="701" priority="2263">
      <formula>LEN(TRIM(B4))=0</formula>
    </cfRule>
    <cfRule type="containsBlanks" priority="2264">
      <formula>LEN(TRIM(B4))=0</formula>
    </cfRule>
  </conditionalFormatting>
  <conditionalFormatting sqref="B3">
    <cfRule type="containsBlanks" dxfId="700" priority="2261">
      <formula>LEN(TRIM(B3))=0</formula>
    </cfRule>
    <cfRule type="containsBlanks" priority="2262">
      <formula>LEN(TRIM(B3))=0</formula>
    </cfRule>
  </conditionalFormatting>
  <conditionalFormatting sqref="C4:C6">
    <cfRule type="containsBlanks" dxfId="699" priority="2259">
      <formula>LEN(TRIM(C4))=0</formula>
    </cfRule>
    <cfRule type="containsBlanks" priority="2260">
      <formula>LEN(TRIM(C4))=0</formula>
    </cfRule>
  </conditionalFormatting>
  <conditionalFormatting sqref="C3">
    <cfRule type="containsBlanks" dxfId="698" priority="2257">
      <formula>LEN(TRIM(C3))=0</formula>
    </cfRule>
    <cfRule type="containsBlanks" priority="2258">
      <formula>LEN(TRIM(C3))=0</formula>
    </cfRule>
  </conditionalFormatting>
  <conditionalFormatting sqref="G10">
    <cfRule type="containsBlanks" dxfId="697" priority="2253">
      <formula>LEN(TRIM(G10))=0</formula>
    </cfRule>
    <cfRule type="containsBlanks" priority="2254">
      <formula>LEN(TRIM(G10))=0</formula>
    </cfRule>
  </conditionalFormatting>
  <conditionalFormatting sqref="G14">
    <cfRule type="containsBlanks" dxfId="696" priority="2251">
      <formula>LEN(TRIM(G14))=0</formula>
    </cfRule>
    <cfRule type="containsBlanks" priority="2252">
      <formula>LEN(TRIM(G14))=0</formula>
    </cfRule>
  </conditionalFormatting>
  <conditionalFormatting sqref="D16:F17 B18:F18">
    <cfRule type="containsBlanks" dxfId="695" priority="2241">
      <formula>LEN(TRIM(B16))=0</formula>
    </cfRule>
    <cfRule type="containsBlanks" priority="2242">
      <formula>LEN(TRIM(B16))=0</formula>
    </cfRule>
  </conditionalFormatting>
  <conditionalFormatting sqref="B15:F15 B16:C17">
    <cfRule type="containsBlanks" dxfId="694" priority="2239">
      <formula>LEN(TRIM(B15))=0</formula>
    </cfRule>
    <cfRule type="containsBlanks" priority="2240">
      <formula>LEN(TRIM(B15))=0</formula>
    </cfRule>
  </conditionalFormatting>
  <conditionalFormatting sqref="G16:G17">
    <cfRule type="containsBlanks" dxfId="693" priority="2237">
      <formula>LEN(TRIM(G16))=0</formula>
    </cfRule>
    <cfRule type="containsBlanks" priority="2238">
      <formula>LEN(TRIM(G16))=0</formula>
    </cfRule>
  </conditionalFormatting>
  <conditionalFormatting sqref="G15">
    <cfRule type="containsBlanks" dxfId="692" priority="2235">
      <formula>LEN(TRIM(G15))=0</formula>
    </cfRule>
    <cfRule type="containsBlanks" priority="2236">
      <formula>LEN(TRIM(G15))=0</formula>
    </cfRule>
  </conditionalFormatting>
  <conditionalFormatting sqref="G18">
    <cfRule type="containsBlanks" dxfId="691" priority="2231">
      <formula>LEN(TRIM(G18))=0</formula>
    </cfRule>
    <cfRule type="containsBlanks" priority="2232">
      <formula>LEN(TRIM(G18))=0</formula>
    </cfRule>
  </conditionalFormatting>
  <conditionalFormatting sqref="I14 J6 K14 M14:R14 I18:T18 T6:X6">
    <cfRule type="containsBlanks" dxfId="690" priority="1793">
      <formula>LEN(TRIM(I6))=0</formula>
    </cfRule>
    <cfRule type="containsBlanks" priority="1794">
      <formula>LEN(TRIM(I6))=0</formula>
    </cfRule>
  </conditionalFormatting>
  <conditionalFormatting sqref="H4 I12:I14 J4:J6 K12:K14 I16:K16 M16 M12:R14 I17:T18 T6:X6">
    <cfRule type="containsBlanks" dxfId="689" priority="1791">
      <formula>LEN(TRIM(H4))=0</formula>
    </cfRule>
    <cfRule type="containsBlanks" priority="1792">
      <formula>LEN(TRIM(H4))=0</formula>
    </cfRule>
  </conditionalFormatting>
  <conditionalFormatting sqref="I14 J6 K14 M14:R14 I18:T18 T6:X6">
    <cfRule type="containsBlanks" dxfId="688" priority="1789">
      <formula>LEN(TRIM(I6))=0</formula>
    </cfRule>
    <cfRule type="containsBlanks" priority="1790">
      <formula>LEN(TRIM(I6))=0</formula>
    </cfRule>
  </conditionalFormatting>
  <conditionalFormatting sqref="I14 J6 K14 M14:R14 I18:T18 T6:X6">
    <cfRule type="containsBlanks" dxfId="687" priority="1787">
      <formula>LEN(TRIM(I6))=0</formula>
    </cfRule>
    <cfRule type="containsBlanks" priority="1788">
      <formula>LEN(TRIM(I6))=0</formula>
    </cfRule>
  </conditionalFormatting>
  <conditionalFormatting sqref="H14">
    <cfRule type="containsBlanks" dxfId="686" priority="1529">
      <formula>LEN(TRIM(H14))=0</formula>
    </cfRule>
    <cfRule type="containsBlanks" priority="1530">
      <formula>LEN(TRIM(H14))=0</formula>
    </cfRule>
  </conditionalFormatting>
  <conditionalFormatting sqref="H12:H14">
    <cfRule type="containsBlanks" dxfId="685" priority="1527">
      <formula>LEN(TRIM(H12))=0</formula>
    </cfRule>
    <cfRule type="containsBlanks" priority="1528">
      <formula>LEN(TRIM(H12))=0</formula>
    </cfRule>
  </conditionalFormatting>
  <conditionalFormatting sqref="H14">
    <cfRule type="containsBlanks" dxfId="684" priority="1525">
      <formula>LEN(TRIM(H14))=0</formula>
    </cfRule>
    <cfRule type="containsBlanks" priority="1526">
      <formula>LEN(TRIM(H14))=0</formula>
    </cfRule>
  </conditionalFormatting>
  <conditionalFormatting sqref="H14">
    <cfRule type="containsBlanks" dxfId="683" priority="1523">
      <formula>LEN(TRIM(H14))=0</formula>
    </cfRule>
    <cfRule type="containsBlanks" priority="1524">
      <formula>LEN(TRIM(H14))=0</formula>
    </cfRule>
  </conditionalFormatting>
  <conditionalFormatting sqref="H18">
    <cfRule type="containsBlanks" dxfId="682" priority="1521">
      <formula>LEN(TRIM(H18))=0</formula>
    </cfRule>
    <cfRule type="containsBlanks" priority="1522">
      <formula>LEN(TRIM(H18))=0</formula>
    </cfRule>
  </conditionalFormatting>
  <conditionalFormatting sqref="H16:H18">
    <cfRule type="containsBlanks" dxfId="681" priority="1519">
      <formula>LEN(TRIM(H16))=0</formula>
    </cfRule>
    <cfRule type="containsBlanks" priority="1520">
      <formula>LEN(TRIM(H16))=0</formula>
    </cfRule>
  </conditionalFormatting>
  <conditionalFormatting sqref="H18">
    <cfRule type="containsBlanks" dxfId="680" priority="1517">
      <formula>LEN(TRIM(H18))=0</formula>
    </cfRule>
    <cfRule type="containsBlanks" priority="1518">
      <formula>LEN(TRIM(H18))=0</formula>
    </cfRule>
  </conditionalFormatting>
  <conditionalFormatting sqref="H18">
    <cfRule type="containsBlanks" dxfId="679" priority="1515">
      <formula>LEN(TRIM(H18))=0</formula>
    </cfRule>
    <cfRule type="containsBlanks" priority="1516">
      <formula>LEN(TRIM(H18))=0</formula>
    </cfRule>
  </conditionalFormatting>
  <conditionalFormatting sqref="H18">
    <cfRule type="containsBlanks" dxfId="678" priority="1513">
      <formula>LEN(TRIM(H18))=0</formula>
    </cfRule>
    <cfRule type="containsBlanks" priority="1514">
      <formula>LEN(TRIM(H18))=0</formula>
    </cfRule>
  </conditionalFormatting>
  <conditionalFormatting sqref="H16:H18">
    <cfRule type="containsBlanks" dxfId="677" priority="1511">
      <formula>LEN(TRIM(H16))=0</formula>
    </cfRule>
    <cfRule type="containsBlanks" priority="1512">
      <formula>LEN(TRIM(H16))=0</formula>
    </cfRule>
  </conditionalFormatting>
  <conditionalFormatting sqref="H18">
    <cfRule type="containsBlanks" dxfId="676" priority="1509">
      <formula>LEN(TRIM(H18))=0</formula>
    </cfRule>
    <cfRule type="containsBlanks" priority="1510">
      <formula>LEN(TRIM(H18))=0</formula>
    </cfRule>
  </conditionalFormatting>
  <conditionalFormatting sqref="H18">
    <cfRule type="containsBlanks" dxfId="675" priority="1507">
      <formula>LEN(TRIM(H18))=0</formula>
    </cfRule>
    <cfRule type="containsBlanks" priority="1508">
      <formula>LEN(TRIM(H18))=0</formula>
    </cfRule>
  </conditionalFormatting>
  <conditionalFormatting sqref="I6">
    <cfRule type="containsBlanks" dxfId="674" priority="1505">
      <formula>LEN(TRIM(I6))=0</formula>
    </cfRule>
    <cfRule type="containsBlanks" priority="1506">
      <formula>LEN(TRIM(I6))=0</formula>
    </cfRule>
  </conditionalFormatting>
  <conditionalFormatting sqref="I4:I6">
    <cfRule type="containsBlanks" dxfId="673" priority="1503">
      <formula>LEN(TRIM(I4))=0</formula>
    </cfRule>
    <cfRule type="containsBlanks" priority="1504">
      <formula>LEN(TRIM(I4))=0</formula>
    </cfRule>
  </conditionalFormatting>
  <conditionalFormatting sqref="I6">
    <cfRule type="containsBlanks" dxfId="672" priority="1501">
      <formula>LEN(TRIM(I6))=0</formula>
    </cfRule>
    <cfRule type="containsBlanks" priority="1502">
      <formula>LEN(TRIM(I6))=0</formula>
    </cfRule>
  </conditionalFormatting>
  <conditionalFormatting sqref="I6">
    <cfRule type="containsBlanks" dxfId="671" priority="1499">
      <formula>LEN(TRIM(I6))=0</formula>
    </cfRule>
    <cfRule type="containsBlanks" priority="1500">
      <formula>LEN(TRIM(I6))=0</formula>
    </cfRule>
  </conditionalFormatting>
  <conditionalFormatting sqref="J10">
    <cfRule type="containsBlanks" dxfId="670" priority="1497">
      <formula>LEN(TRIM(J10))=0</formula>
    </cfRule>
    <cfRule type="containsBlanks" priority="1498">
      <formula>LEN(TRIM(J10))=0</formula>
    </cfRule>
  </conditionalFormatting>
  <conditionalFormatting sqref="J8:J10">
    <cfRule type="containsBlanks" dxfId="669" priority="1495">
      <formula>LEN(TRIM(J8))=0</formula>
    </cfRule>
    <cfRule type="containsBlanks" priority="1496">
      <formula>LEN(TRIM(J8))=0</formula>
    </cfRule>
  </conditionalFormatting>
  <conditionalFormatting sqref="J10">
    <cfRule type="containsBlanks" dxfId="668" priority="1493">
      <formula>LEN(TRIM(J10))=0</formula>
    </cfRule>
    <cfRule type="containsBlanks" priority="1494">
      <formula>LEN(TRIM(J10))=0</formula>
    </cfRule>
  </conditionalFormatting>
  <conditionalFormatting sqref="J10">
    <cfRule type="containsBlanks" dxfId="667" priority="1491">
      <formula>LEN(TRIM(J10))=0</formula>
    </cfRule>
    <cfRule type="containsBlanks" priority="1492">
      <formula>LEN(TRIM(J10))=0</formula>
    </cfRule>
  </conditionalFormatting>
  <conditionalFormatting sqref="J14">
    <cfRule type="containsBlanks" dxfId="666" priority="1489">
      <formula>LEN(TRIM(J14))=0</formula>
    </cfRule>
    <cfRule type="containsBlanks" priority="1490">
      <formula>LEN(TRIM(J14))=0</formula>
    </cfRule>
  </conditionalFormatting>
  <conditionalFormatting sqref="J12:J14">
    <cfRule type="containsBlanks" dxfId="665" priority="1487">
      <formula>LEN(TRIM(J12))=0</formula>
    </cfRule>
    <cfRule type="containsBlanks" priority="1488">
      <formula>LEN(TRIM(J12))=0</formula>
    </cfRule>
  </conditionalFormatting>
  <conditionalFormatting sqref="J14">
    <cfRule type="containsBlanks" dxfId="664" priority="1485">
      <formula>LEN(TRIM(J14))=0</formula>
    </cfRule>
    <cfRule type="containsBlanks" priority="1486">
      <formula>LEN(TRIM(J14))=0</formula>
    </cfRule>
  </conditionalFormatting>
  <conditionalFormatting sqref="J14">
    <cfRule type="containsBlanks" dxfId="663" priority="1483">
      <formula>LEN(TRIM(J14))=0</formula>
    </cfRule>
    <cfRule type="containsBlanks" priority="1484">
      <formula>LEN(TRIM(J14))=0</formula>
    </cfRule>
  </conditionalFormatting>
  <conditionalFormatting sqref="K10">
    <cfRule type="containsBlanks" dxfId="662" priority="1481">
      <formula>LEN(TRIM(K10))=0</formula>
    </cfRule>
    <cfRule type="containsBlanks" priority="1482">
      <formula>LEN(TRIM(K10))=0</formula>
    </cfRule>
  </conditionalFormatting>
  <conditionalFormatting sqref="K8:K10">
    <cfRule type="containsBlanks" dxfId="661" priority="1479">
      <formula>LEN(TRIM(K8))=0</formula>
    </cfRule>
    <cfRule type="containsBlanks" priority="1480">
      <formula>LEN(TRIM(K8))=0</formula>
    </cfRule>
  </conditionalFormatting>
  <conditionalFormatting sqref="K10">
    <cfRule type="containsBlanks" dxfId="660" priority="1477">
      <formula>LEN(TRIM(K10))=0</formula>
    </cfRule>
    <cfRule type="containsBlanks" priority="1478">
      <formula>LEN(TRIM(K10))=0</formula>
    </cfRule>
  </conditionalFormatting>
  <conditionalFormatting sqref="K10">
    <cfRule type="containsBlanks" dxfId="659" priority="1475">
      <formula>LEN(TRIM(K10))=0</formula>
    </cfRule>
    <cfRule type="containsBlanks" priority="1476">
      <formula>LEN(TRIM(K10))=0</formula>
    </cfRule>
  </conditionalFormatting>
  <conditionalFormatting sqref="K6">
    <cfRule type="containsBlanks" dxfId="658" priority="1473">
      <formula>LEN(TRIM(K6))=0</formula>
    </cfRule>
    <cfRule type="containsBlanks" priority="1474">
      <formula>LEN(TRIM(K6))=0</formula>
    </cfRule>
  </conditionalFormatting>
  <conditionalFormatting sqref="K4:K6">
    <cfRule type="containsBlanks" dxfId="657" priority="1471">
      <formula>LEN(TRIM(K4))=0</formula>
    </cfRule>
    <cfRule type="containsBlanks" priority="1472">
      <formula>LEN(TRIM(K4))=0</formula>
    </cfRule>
  </conditionalFormatting>
  <conditionalFormatting sqref="K6">
    <cfRule type="containsBlanks" dxfId="656" priority="1469">
      <formula>LEN(TRIM(K6))=0</formula>
    </cfRule>
    <cfRule type="containsBlanks" priority="1470">
      <formula>LEN(TRIM(K6))=0</formula>
    </cfRule>
  </conditionalFormatting>
  <conditionalFormatting sqref="K6">
    <cfRule type="containsBlanks" dxfId="655" priority="1467">
      <formula>LEN(TRIM(K6))=0</formula>
    </cfRule>
    <cfRule type="containsBlanks" priority="1468">
      <formula>LEN(TRIM(K6))=0</formula>
    </cfRule>
  </conditionalFormatting>
  <conditionalFormatting sqref="T10 V10 AH10:AI10 AN10">
    <cfRule type="containsBlanks" dxfId="654" priority="1465">
      <formula>LEN(TRIM(T10))=0</formula>
    </cfRule>
    <cfRule type="containsBlanks" priority="1466">
      <formula>LEN(TRIM(T10))=0</formula>
    </cfRule>
  </conditionalFormatting>
  <conditionalFormatting sqref="T10 V10 AH10:AI10 AN10">
    <cfRule type="containsBlanks" dxfId="653" priority="1463">
      <formula>LEN(TRIM(T10))=0</formula>
    </cfRule>
    <cfRule type="containsBlanks" priority="1464">
      <formula>LEN(TRIM(T10))=0</formula>
    </cfRule>
  </conditionalFormatting>
  <conditionalFormatting sqref="T10 V10 AH10:AI10 AN10">
    <cfRule type="containsBlanks" dxfId="652" priority="1461">
      <formula>LEN(TRIM(T10))=0</formula>
    </cfRule>
    <cfRule type="containsBlanks" priority="1462">
      <formula>LEN(TRIM(T10))=0</formula>
    </cfRule>
  </conditionalFormatting>
  <conditionalFormatting sqref="T10 V10 AH10:AI10 AN10">
    <cfRule type="containsBlanks" dxfId="651" priority="1459">
      <formula>LEN(TRIM(T10))=0</formula>
    </cfRule>
    <cfRule type="containsBlanks" priority="1460">
      <formula>LEN(TRIM(T10))=0</formula>
    </cfRule>
  </conditionalFormatting>
  <conditionalFormatting sqref="O14:R14 U14:V14 AO14">
    <cfRule type="containsBlanks" dxfId="650" priority="1457">
      <formula>LEN(TRIM(O14))=0</formula>
    </cfRule>
    <cfRule type="containsBlanks" priority="1458">
      <formula>LEN(TRIM(O14))=0</formula>
    </cfRule>
  </conditionalFormatting>
  <conditionalFormatting sqref="O14:R14 U14:V14 AO14">
    <cfRule type="containsBlanks" dxfId="649" priority="1455">
      <formula>LEN(TRIM(O14))=0</formula>
    </cfRule>
    <cfRule type="containsBlanks" priority="1456">
      <formula>LEN(TRIM(O14))=0</formula>
    </cfRule>
  </conditionalFormatting>
  <conditionalFormatting sqref="O14:R14 U14:V14 AO14">
    <cfRule type="containsBlanks" dxfId="648" priority="1453">
      <formula>LEN(TRIM(O14))=0</formula>
    </cfRule>
    <cfRule type="containsBlanks" priority="1454">
      <formula>LEN(TRIM(O14))=0</formula>
    </cfRule>
  </conditionalFormatting>
  <conditionalFormatting sqref="O14:R14 U14:V14 AO14">
    <cfRule type="containsBlanks" dxfId="647" priority="1451">
      <formula>LEN(TRIM(O14))=0</formula>
    </cfRule>
    <cfRule type="containsBlanks" priority="1452">
      <formula>LEN(TRIM(O14))=0</formula>
    </cfRule>
  </conditionalFormatting>
  <conditionalFormatting sqref="O18:V18 Z18 AP18">
    <cfRule type="containsBlanks" dxfId="646" priority="1449">
      <formula>LEN(TRIM(O18))=0</formula>
    </cfRule>
    <cfRule type="containsBlanks" priority="1450">
      <formula>LEN(TRIM(O18))=0</formula>
    </cfRule>
  </conditionalFormatting>
  <conditionalFormatting sqref="O18:V18 Z18 AP18">
    <cfRule type="containsBlanks" dxfId="645" priority="1447">
      <formula>LEN(TRIM(O18))=0</formula>
    </cfRule>
    <cfRule type="containsBlanks" priority="1448">
      <formula>LEN(TRIM(O18))=0</formula>
    </cfRule>
  </conditionalFormatting>
  <conditionalFormatting sqref="O18:V18 Z18 AP18">
    <cfRule type="containsBlanks" dxfId="644" priority="1445">
      <formula>LEN(TRIM(O18))=0</formula>
    </cfRule>
    <cfRule type="containsBlanks" priority="1446">
      <formula>LEN(TRIM(O18))=0</formula>
    </cfRule>
  </conditionalFormatting>
  <conditionalFormatting sqref="O18:V18 Z18 AP18">
    <cfRule type="containsBlanks" dxfId="643" priority="1443">
      <formula>LEN(TRIM(O18))=0</formula>
    </cfRule>
    <cfRule type="containsBlanks" priority="1444">
      <formula>LEN(TRIM(O18))=0</formula>
    </cfRule>
  </conditionalFormatting>
  <conditionalFormatting sqref="L6">
    <cfRule type="containsBlanks" dxfId="642" priority="1441">
      <formula>LEN(TRIM(L6))=0</formula>
    </cfRule>
    <cfRule type="containsBlanks" priority="1442">
      <formula>LEN(TRIM(L6))=0</formula>
    </cfRule>
  </conditionalFormatting>
  <conditionalFormatting sqref="L4:L6">
    <cfRule type="containsBlanks" dxfId="641" priority="1439">
      <formula>LEN(TRIM(L4))=0</formula>
    </cfRule>
    <cfRule type="containsBlanks" priority="1440">
      <formula>LEN(TRIM(L4))=0</formula>
    </cfRule>
  </conditionalFormatting>
  <conditionalFormatting sqref="L6">
    <cfRule type="containsBlanks" dxfId="640" priority="1437">
      <formula>LEN(TRIM(L6))=0</formula>
    </cfRule>
    <cfRule type="containsBlanks" priority="1438">
      <formula>LEN(TRIM(L6))=0</formula>
    </cfRule>
  </conditionalFormatting>
  <conditionalFormatting sqref="L6">
    <cfRule type="containsBlanks" dxfId="639" priority="1435">
      <formula>LEN(TRIM(L6))=0</formula>
    </cfRule>
    <cfRule type="containsBlanks" priority="1436">
      <formula>LEN(TRIM(L6))=0</formula>
    </cfRule>
  </conditionalFormatting>
  <conditionalFormatting sqref="L10">
    <cfRule type="containsBlanks" dxfId="638" priority="1433">
      <formula>LEN(TRIM(L10))=0</formula>
    </cfRule>
    <cfRule type="containsBlanks" priority="1434">
      <formula>LEN(TRIM(L10))=0</formula>
    </cfRule>
  </conditionalFormatting>
  <conditionalFormatting sqref="L8:L10">
    <cfRule type="containsBlanks" dxfId="637" priority="1431">
      <formula>LEN(TRIM(L8))=0</formula>
    </cfRule>
    <cfRule type="containsBlanks" priority="1432">
      <formula>LEN(TRIM(L8))=0</formula>
    </cfRule>
  </conditionalFormatting>
  <conditionalFormatting sqref="L10">
    <cfRule type="containsBlanks" dxfId="636" priority="1429">
      <formula>LEN(TRIM(L10))=0</formula>
    </cfRule>
    <cfRule type="containsBlanks" priority="1430">
      <formula>LEN(TRIM(L10))=0</formula>
    </cfRule>
  </conditionalFormatting>
  <conditionalFormatting sqref="L10">
    <cfRule type="containsBlanks" dxfId="635" priority="1427">
      <formula>LEN(TRIM(L10))=0</formula>
    </cfRule>
    <cfRule type="containsBlanks" priority="1428">
      <formula>LEN(TRIM(L10))=0</formula>
    </cfRule>
  </conditionalFormatting>
  <conditionalFormatting sqref="L14">
    <cfRule type="containsBlanks" dxfId="634" priority="1425">
      <formula>LEN(TRIM(L14))=0</formula>
    </cfRule>
    <cfRule type="containsBlanks" priority="1426">
      <formula>LEN(TRIM(L14))=0</formula>
    </cfRule>
  </conditionalFormatting>
  <conditionalFormatting sqref="L12:L14">
    <cfRule type="containsBlanks" dxfId="633" priority="1423">
      <formula>LEN(TRIM(L12))=0</formula>
    </cfRule>
    <cfRule type="containsBlanks" priority="1424">
      <formula>LEN(TRIM(L12))=0</formula>
    </cfRule>
  </conditionalFormatting>
  <conditionalFormatting sqref="L14">
    <cfRule type="containsBlanks" dxfId="632" priority="1421">
      <formula>LEN(TRIM(L14))=0</formula>
    </cfRule>
    <cfRule type="containsBlanks" priority="1422">
      <formula>LEN(TRIM(L14))=0</formula>
    </cfRule>
  </conditionalFormatting>
  <conditionalFormatting sqref="L14">
    <cfRule type="containsBlanks" dxfId="631" priority="1419">
      <formula>LEN(TRIM(L14))=0</formula>
    </cfRule>
    <cfRule type="containsBlanks" priority="1420">
      <formula>LEN(TRIM(L14))=0</formula>
    </cfRule>
  </conditionalFormatting>
  <conditionalFormatting sqref="L16">
    <cfRule type="containsBlanks" dxfId="630" priority="1417">
      <formula>LEN(TRIM(L16))=0</formula>
    </cfRule>
    <cfRule type="containsBlanks" priority="1418">
      <formula>LEN(TRIM(L16))=0</formula>
    </cfRule>
  </conditionalFormatting>
  <conditionalFormatting sqref="M6">
    <cfRule type="containsBlanks" dxfId="629" priority="1415">
      <formula>LEN(TRIM(M6))=0</formula>
    </cfRule>
    <cfRule type="containsBlanks" priority="1416">
      <formula>LEN(TRIM(M6))=0</formula>
    </cfRule>
  </conditionalFormatting>
  <conditionalFormatting sqref="M4:M6">
    <cfRule type="containsBlanks" dxfId="628" priority="1413">
      <formula>LEN(TRIM(M4))=0</formula>
    </cfRule>
    <cfRule type="containsBlanks" priority="1414">
      <formula>LEN(TRIM(M4))=0</formula>
    </cfRule>
  </conditionalFormatting>
  <conditionalFormatting sqref="M6">
    <cfRule type="containsBlanks" dxfId="627" priority="1411">
      <formula>LEN(TRIM(M6))=0</formula>
    </cfRule>
    <cfRule type="containsBlanks" priority="1412">
      <formula>LEN(TRIM(M6))=0</formula>
    </cfRule>
  </conditionalFormatting>
  <conditionalFormatting sqref="M6">
    <cfRule type="containsBlanks" dxfId="626" priority="1409">
      <formula>LEN(TRIM(M6))=0</formula>
    </cfRule>
    <cfRule type="containsBlanks" priority="1410">
      <formula>LEN(TRIM(M6))=0</formula>
    </cfRule>
  </conditionalFormatting>
  <conditionalFormatting sqref="M10">
    <cfRule type="containsBlanks" dxfId="625" priority="1407">
      <formula>LEN(TRIM(M10))=0</formula>
    </cfRule>
    <cfRule type="containsBlanks" priority="1408">
      <formula>LEN(TRIM(M10))=0</formula>
    </cfRule>
  </conditionalFormatting>
  <conditionalFormatting sqref="M8:M10">
    <cfRule type="containsBlanks" dxfId="624" priority="1405">
      <formula>LEN(TRIM(M8))=0</formula>
    </cfRule>
    <cfRule type="containsBlanks" priority="1406">
      <formula>LEN(TRIM(M8))=0</formula>
    </cfRule>
  </conditionalFormatting>
  <conditionalFormatting sqref="M10">
    <cfRule type="containsBlanks" dxfId="623" priority="1403">
      <formula>LEN(TRIM(M10))=0</formula>
    </cfRule>
    <cfRule type="containsBlanks" priority="1404">
      <formula>LEN(TRIM(M10))=0</formula>
    </cfRule>
  </conditionalFormatting>
  <conditionalFormatting sqref="M10">
    <cfRule type="containsBlanks" dxfId="622" priority="1401">
      <formula>LEN(TRIM(M10))=0</formula>
    </cfRule>
    <cfRule type="containsBlanks" priority="1402">
      <formula>LEN(TRIM(M10))=0</formula>
    </cfRule>
  </conditionalFormatting>
  <conditionalFormatting sqref="N6">
    <cfRule type="containsBlanks" dxfId="621" priority="1399">
      <formula>LEN(TRIM(N6))=0</formula>
    </cfRule>
    <cfRule type="containsBlanks" priority="1400">
      <formula>LEN(TRIM(N6))=0</formula>
    </cfRule>
  </conditionalFormatting>
  <conditionalFormatting sqref="N4:N6">
    <cfRule type="containsBlanks" dxfId="620" priority="1397">
      <formula>LEN(TRIM(N4))=0</formula>
    </cfRule>
    <cfRule type="containsBlanks" priority="1398">
      <formula>LEN(TRIM(N4))=0</formula>
    </cfRule>
  </conditionalFormatting>
  <conditionalFormatting sqref="N6">
    <cfRule type="containsBlanks" dxfId="619" priority="1395">
      <formula>LEN(TRIM(N6))=0</formula>
    </cfRule>
    <cfRule type="containsBlanks" priority="1396">
      <formula>LEN(TRIM(N6))=0</formula>
    </cfRule>
  </conditionalFormatting>
  <conditionalFormatting sqref="N6">
    <cfRule type="containsBlanks" dxfId="618" priority="1393">
      <formula>LEN(TRIM(N6))=0</formula>
    </cfRule>
    <cfRule type="containsBlanks" priority="1394">
      <formula>LEN(TRIM(N6))=0</formula>
    </cfRule>
  </conditionalFormatting>
  <conditionalFormatting sqref="N10">
    <cfRule type="containsBlanks" dxfId="617" priority="1391">
      <formula>LEN(TRIM(N10))=0</formula>
    </cfRule>
    <cfRule type="containsBlanks" priority="1392">
      <formula>LEN(TRIM(N10))=0</formula>
    </cfRule>
  </conditionalFormatting>
  <conditionalFormatting sqref="N8:N10">
    <cfRule type="containsBlanks" dxfId="616" priority="1389">
      <formula>LEN(TRIM(N8))=0</formula>
    </cfRule>
    <cfRule type="containsBlanks" priority="1390">
      <formula>LEN(TRIM(N8))=0</formula>
    </cfRule>
  </conditionalFormatting>
  <conditionalFormatting sqref="N10">
    <cfRule type="containsBlanks" dxfId="615" priority="1387">
      <formula>LEN(TRIM(N10))=0</formula>
    </cfRule>
    <cfRule type="containsBlanks" priority="1388">
      <formula>LEN(TRIM(N10))=0</formula>
    </cfRule>
  </conditionalFormatting>
  <conditionalFormatting sqref="N10">
    <cfRule type="containsBlanks" dxfId="614" priority="1385">
      <formula>LEN(TRIM(N10))=0</formula>
    </cfRule>
    <cfRule type="containsBlanks" priority="1386">
      <formula>LEN(TRIM(N10))=0</formula>
    </cfRule>
  </conditionalFormatting>
  <conditionalFormatting sqref="N16:T16">
    <cfRule type="containsBlanks" dxfId="613" priority="1383">
      <formula>LEN(TRIM(N16))=0</formula>
    </cfRule>
    <cfRule type="containsBlanks" priority="1384">
      <formula>LEN(TRIM(N16))=0</formula>
    </cfRule>
  </conditionalFormatting>
  <conditionalFormatting sqref="O10">
    <cfRule type="containsBlanks" dxfId="612" priority="1373">
      <formula>LEN(TRIM(O10))=0</formula>
    </cfRule>
    <cfRule type="containsBlanks" priority="1374">
      <formula>LEN(TRIM(O10))=0</formula>
    </cfRule>
  </conditionalFormatting>
  <conditionalFormatting sqref="O8:O10">
    <cfRule type="containsBlanks" dxfId="611" priority="1371">
      <formula>LEN(TRIM(O8))=0</formula>
    </cfRule>
    <cfRule type="containsBlanks" priority="1372">
      <formula>LEN(TRIM(O8))=0</formula>
    </cfRule>
  </conditionalFormatting>
  <conditionalFormatting sqref="O10">
    <cfRule type="containsBlanks" dxfId="610" priority="1369">
      <formula>LEN(TRIM(O10))=0</formula>
    </cfRule>
    <cfRule type="containsBlanks" priority="1370">
      <formula>LEN(TRIM(O10))=0</formula>
    </cfRule>
  </conditionalFormatting>
  <conditionalFormatting sqref="O10">
    <cfRule type="containsBlanks" dxfId="609" priority="1367">
      <formula>LEN(TRIM(O10))=0</formula>
    </cfRule>
    <cfRule type="containsBlanks" priority="1368">
      <formula>LEN(TRIM(O10))=0</formula>
    </cfRule>
  </conditionalFormatting>
  <conditionalFormatting sqref="O16">
    <cfRule type="containsBlanks" dxfId="608" priority="1365">
      <formula>LEN(TRIM(O16))=0</formula>
    </cfRule>
    <cfRule type="containsBlanks" priority="1366">
      <formula>LEN(TRIM(O16))=0</formula>
    </cfRule>
  </conditionalFormatting>
  <conditionalFormatting sqref="O6:R6">
    <cfRule type="containsBlanks" dxfId="607" priority="1363">
      <formula>LEN(TRIM(O6))=0</formula>
    </cfRule>
    <cfRule type="containsBlanks" priority="1364">
      <formula>LEN(TRIM(O6))=0</formula>
    </cfRule>
  </conditionalFormatting>
  <conditionalFormatting sqref="O4:R6">
    <cfRule type="containsBlanks" dxfId="606" priority="1361">
      <formula>LEN(TRIM(O4))=0</formula>
    </cfRule>
    <cfRule type="containsBlanks" priority="1362">
      <formula>LEN(TRIM(O4))=0</formula>
    </cfRule>
  </conditionalFormatting>
  <conditionalFormatting sqref="O6:R6">
    <cfRule type="containsBlanks" dxfId="605" priority="1359">
      <formula>LEN(TRIM(O6))=0</formula>
    </cfRule>
    <cfRule type="containsBlanks" priority="1360">
      <formula>LEN(TRIM(O6))=0</formula>
    </cfRule>
  </conditionalFormatting>
  <conditionalFormatting sqref="O6:R6">
    <cfRule type="containsBlanks" dxfId="604" priority="1357">
      <formula>LEN(TRIM(O6))=0</formula>
    </cfRule>
    <cfRule type="containsBlanks" priority="1358">
      <formula>LEN(TRIM(O6))=0</formula>
    </cfRule>
  </conditionalFormatting>
  <conditionalFormatting sqref="O6:R6">
    <cfRule type="containsBlanks" dxfId="603" priority="1355">
      <formula>LEN(TRIM(O6))=0</formula>
    </cfRule>
    <cfRule type="containsBlanks" priority="1356">
      <formula>LEN(TRIM(O6))=0</formula>
    </cfRule>
  </conditionalFormatting>
  <conditionalFormatting sqref="O6:R6">
    <cfRule type="containsBlanks" dxfId="602" priority="1353">
      <formula>LEN(TRIM(O6))=0</formula>
    </cfRule>
    <cfRule type="containsBlanks" priority="1354">
      <formula>LEN(TRIM(O6))=0</formula>
    </cfRule>
  </conditionalFormatting>
  <conditionalFormatting sqref="O6:R6">
    <cfRule type="containsBlanks" dxfId="601" priority="1351">
      <formula>LEN(TRIM(O6))=0</formula>
    </cfRule>
    <cfRule type="containsBlanks" priority="1352">
      <formula>LEN(TRIM(O6))=0</formula>
    </cfRule>
  </conditionalFormatting>
  <conditionalFormatting sqref="O6:R6">
    <cfRule type="containsBlanks" dxfId="600" priority="1349">
      <formula>LEN(TRIM(O6))=0</formula>
    </cfRule>
    <cfRule type="containsBlanks" priority="1350">
      <formula>LEN(TRIM(O6))=0</formula>
    </cfRule>
  </conditionalFormatting>
  <conditionalFormatting sqref="P10:R10 T10">
    <cfRule type="containsBlanks" dxfId="599" priority="1347">
      <formula>LEN(TRIM(P10))=0</formula>
    </cfRule>
    <cfRule type="containsBlanks" priority="1348">
      <formula>LEN(TRIM(P10))=0</formula>
    </cfRule>
  </conditionalFormatting>
  <conditionalFormatting sqref="P8:R10 T8:T10">
    <cfRule type="containsBlanks" dxfId="598" priority="1345">
      <formula>LEN(TRIM(P8))=0</formula>
    </cfRule>
    <cfRule type="containsBlanks" priority="1346">
      <formula>LEN(TRIM(P8))=0</formula>
    </cfRule>
  </conditionalFormatting>
  <conditionalFormatting sqref="P10:R10 T10">
    <cfRule type="containsBlanks" dxfId="597" priority="1343">
      <formula>LEN(TRIM(P10))=0</formula>
    </cfRule>
    <cfRule type="containsBlanks" priority="1344">
      <formula>LEN(TRIM(P10))=0</formula>
    </cfRule>
  </conditionalFormatting>
  <conditionalFormatting sqref="P10:R10 T10">
    <cfRule type="containsBlanks" dxfId="596" priority="1341">
      <formula>LEN(TRIM(P10))=0</formula>
    </cfRule>
    <cfRule type="containsBlanks" priority="1342">
      <formula>LEN(TRIM(P10))=0</formula>
    </cfRule>
  </conditionalFormatting>
  <conditionalFormatting sqref="P10:R10 T10">
    <cfRule type="containsBlanks" dxfId="595" priority="1339">
      <formula>LEN(TRIM(P10))=0</formula>
    </cfRule>
    <cfRule type="containsBlanks" priority="1340">
      <formula>LEN(TRIM(P10))=0</formula>
    </cfRule>
  </conditionalFormatting>
  <conditionalFormatting sqref="P10:R10 T10">
    <cfRule type="containsBlanks" dxfId="594" priority="1337">
      <formula>LEN(TRIM(P10))=0</formula>
    </cfRule>
    <cfRule type="containsBlanks" priority="1338">
      <formula>LEN(TRIM(P10))=0</formula>
    </cfRule>
  </conditionalFormatting>
  <conditionalFormatting sqref="P10:R10 T10">
    <cfRule type="containsBlanks" dxfId="593" priority="1335">
      <formula>LEN(TRIM(P10))=0</formula>
    </cfRule>
    <cfRule type="containsBlanks" priority="1336">
      <formula>LEN(TRIM(P10))=0</formula>
    </cfRule>
  </conditionalFormatting>
  <conditionalFormatting sqref="P10:R10 T10">
    <cfRule type="containsBlanks" dxfId="592" priority="1333">
      <formula>LEN(TRIM(P10))=0</formula>
    </cfRule>
    <cfRule type="containsBlanks" priority="1334">
      <formula>LEN(TRIM(P10))=0</formula>
    </cfRule>
  </conditionalFormatting>
  <conditionalFormatting sqref="S14:T14">
    <cfRule type="containsBlanks" dxfId="591" priority="1331">
      <formula>LEN(TRIM(S14))=0</formula>
    </cfRule>
    <cfRule type="containsBlanks" priority="1332">
      <formula>LEN(TRIM(S14))=0</formula>
    </cfRule>
  </conditionalFormatting>
  <conditionalFormatting sqref="S12:T14">
    <cfRule type="containsBlanks" dxfId="590" priority="1329">
      <formula>LEN(TRIM(S12))=0</formula>
    </cfRule>
    <cfRule type="containsBlanks" priority="1330">
      <formula>LEN(TRIM(S12))=0</formula>
    </cfRule>
  </conditionalFormatting>
  <conditionalFormatting sqref="S14:T14">
    <cfRule type="containsBlanks" dxfId="589" priority="1327">
      <formula>LEN(TRIM(S14))=0</formula>
    </cfRule>
    <cfRule type="containsBlanks" priority="1328">
      <formula>LEN(TRIM(S14))=0</formula>
    </cfRule>
  </conditionalFormatting>
  <conditionalFormatting sqref="S14:T14">
    <cfRule type="containsBlanks" dxfId="588" priority="1325">
      <formula>LEN(TRIM(S14))=0</formula>
    </cfRule>
    <cfRule type="containsBlanks" priority="1326">
      <formula>LEN(TRIM(S14))=0</formula>
    </cfRule>
  </conditionalFormatting>
  <conditionalFormatting sqref="S14:T14">
    <cfRule type="containsBlanks" dxfId="587" priority="1323">
      <formula>LEN(TRIM(S14))=0</formula>
    </cfRule>
    <cfRule type="containsBlanks" priority="1324">
      <formula>LEN(TRIM(S14))=0</formula>
    </cfRule>
  </conditionalFormatting>
  <conditionalFormatting sqref="S14:T14">
    <cfRule type="containsBlanks" dxfId="586" priority="1321">
      <formula>LEN(TRIM(S14))=0</formula>
    </cfRule>
    <cfRule type="containsBlanks" priority="1322">
      <formula>LEN(TRIM(S14))=0</formula>
    </cfRule>
  </conditionalFormatting>
  <conditionalFormatting sqref="S14:T14">
    <cfRule type="containsBlanks" dxfId="585" priority="1319">
      <formula>LEN(TRIM(S14))=0</formula>
    </cfRule>
    <cfRule type="containsBlanks" priority="1320">
      <formula>LEN(TRIM(S14))=0</formula>
    </cfRule>
  </conditionalFormatting>
  <conditionalFormatting sqref="S14:T14">
    <cfRule type="containsBlanks" dxfId="584" priority="1317">
      <formula>LEN(TRIM(S14))=0</formula>
    </cfRule>
    <cfRule type="containsBlanks" priority="1318">
      <formula>LEN(TRIM(S14))=0</formula>
    </cfRule>
  </conditionalFormatting>
  <conditionalFormatting sqref="S6">
    <cfRule type="containsBlanks" dxfId="583" priority="1315">
      <formula>LEN(TRIM(S6))=0</formula>
    </cfRule>
    <cfRule type="containsBlanks" priority="1316">
      <formula>LEN(TRIM(S6))=0</formula>
    </cfRule>
  </conditionalFormatting>
  <conditionalFormatting sqref="S4:S6">
    <cfRule type="containsBlanks" dxfId="582" priority="1313">
      <formula>LEN(TRIM(S4))=0</formula>
    </cfRule>
    <cfRule type="containsBlanks" priority="1314">
      <formula>LEN(TRIM(S4))=0</formula>
    </cfRule>
  </conditionalFormatting>
  <conditionalFormatting sqref="S6">
    <cfRule type="containsBlanks" dxfId="581" priority="1311">
      <formula>LEN(TRIM(S6))=0</formula>
    </cfRule>
    <cfRule type="containsBlanks" priority="1312">
      <formula>LEN(TRIM(S6))=0</formula>
    </cfRule>
  </conditionalFormatting>
  <conditionalFormatting sqref="S6">
    <cfRule type="containsBlanks" dxfId="580" priority="1309">
      <formula>LEN(TRIM(S6))=0</formula>
    </cfRule>
    <cfRule type="containsBlanks" priority="1310">
      <formula>LEN(TRIM(S6))=0</formula>
    </cfRule>
  </conditionalFormatting>
  <conditionalFormatting sqref="S6">
    <cfRule type="containsBlanks" dxfId="579" priority="1307">
      <formula>LEN(TRIM(S6))=0</formula>
    </cfRule>
    <cfRule type="containsBlanks" priority="1308">
      <formula>LEN(TRIM(S6))=0</formula>
    </cfRule>
  </conditionalFormatting>
  <conditionalFormatting sqref="S6">
    <cfRule type="containsBlanks" dxfId="578" priority="1305">
      <formula>LEN(TRIM(S6))=0</formula>
    </cfRule>
    <cfRule type="containsBlanks" priority="1306">
      <formula>LEN(TRIM(S6))=0</formula>
    </cfRule>
  </conditionalFormatting>
  <conditionalFormatting sqref="S6">
    <cfRule type="containsBlanks" dxfId="577" priority="1303">
      <formula>LEN(TRIM(S6))=0</formula>
    </cfRule>
    <cfRule type="containsBlanks" priority="1304">
      <formula>LEN(TRIM(S6))=0</formula>
    </cfRule>
  </conditionalFormatting>
  <conditionalFormatting sqref="S6">
    <cfRule type="containsBlanks" dxfId="576" priority="1301">
      <formula>LEN(TRIM(S6))=0</formula>
    </cfRule>
    <cfRule type="containsBlanks" priority="1302">
      <formula>LEN(TRIM(S6))=0</formula>
    </cfRule>
  </conditionalFormatting>
  <conditionalFormatting sqref="T4">
    <cfRule type="containsBlanks" dxfId="575" priority="1299">
      <formula>LEN(TRIM(T4))=0</formula>
    </cfRule>
    <cfRule type="containsBlanks" priority="1300">
      <formula>LEN(TRIM(T4))=0</formula>
    </cfRule>
  </conditionalFormatting>
  <conditionalFormatting sqref="T5">
    <cfRule type="containsBlanks" dxfId="574" priority="1297">
      <formula>LEN(TRIM(T5))=0</formula>
    </cfRule>
    <cfRule type="containsBlanks" priority="1298">
      <formula>LEN(TRIM(T5))=0</formula>
    </cfRule>
  </conditionalFormatting>
  <conditionalFormatting sqref="U4">
    <cfRule type="containsBlanks" dxfId="573" priority="1295">
      <formula>LEN(TRIM(U4))=0</formula>
    </cfRule>
    <cfRule type="containsBlanks" priority="1296">
      <formula>LEN(TRIM(U4))=0</formula>
    </cfRule>
  </conditionalFormatting>
  <conditionalFormatting sqref="U12">
    <cfRule type="containsBlanks" dxfId="572" priority="1269">
      <formula>LEN(TRIM(U12))=0</formula>
    </cfRule>
    <cfRule type="containsBlanks" priority="1270">
      <formula>LEN(TRIM(U12))=0</formula>
    </cfRule>
  </conditionalFormatting>
  <conditionalFormatting sqref="U16">
    <cfRule type="containsBlanks" dxfId="571" priority="1267">
      <formula>LEN(TRIM(U16))=0</formula>
    </cfRule>
    <cfRule type="containsBlanks" priority="1268">
      <formula>LEN(TRIM(U16))=0</formula>
    </cfRule>
  </conditionalFormatting>
  <conditionalFormatting sqref="S10">
    <cfRule type="containsBlanks" dxfId="570" priority="1265">
      <formula>LEN(TRIM(S10))=0</formula>
    </cfRule>
    <cfRule type="containsBlanks" priority="1266">
      <formula>LEN(TRIM(S10))=0</formula>
    </cfRule>
  </conditionalFormatting>
  <conditionalFormatting sqref="S10">
    <cfRule type="containsBlanks" dxfId="569" priority="1263">
      <formula>LEN(TRIM(S10))=0</formula>
    </cfRule>
    <cfRule type="containsBlanks" priority="1264">
      <formula>LEN(TRIM(S10))=0</formula>
    </cfRule>
  </conditionalFormatting>
  <conditionalFormatting sqref="S10">
    <cfRule type="containsBlanks" dxfId="568" priority="1261">
      <formula>LEN(TRIM(S10))=0</formula>
    </cfRule>
    <cfRule type="containsBlanks" priority="1262">
      <formula>LEN(TRIM(S10))=0</formula>
    </cfRule>
  </conditionalFormatting>
  <conditionalFormatting sqref="S10">
    <cfRule type="containsBlanks" dxfId="567" priority="1259">
      <formula>LEN(TRIM(S10))=0</formula>
    </cfRule>
    <cfRule type="containsBlanks" priority="1260">
      <formula>LEN(TRIM(S10))=0</formula>
    </cfRule>
  </conditionalFormatting>
  <conditionalFormatting sqref="S10">
    <cfRule type="containsBlanks" dxfId="566" priority="1257">
      <formula>LEN(TRIM(S10))=0</formula>
    </cfRule>
    <cfRule type="containsBlanks" priority="1258">
      <formula>LEN(TRIM(S10))=0</formula>
    </cfRule>
  </conditionalFormatting>
  <conditionalFormatting sqref="S8:S10">
    <cfRule type="containsBlanks" dxfId="565" priority="1255">
      <formula>LEN(TRIM(S8))=0</formula>
    </cfRule>
    <cfRule type="containsBlanks" priority="1256">
      <formula>LEN(TRIM(S8))=0</formula>
    </cfRule>
  </conditionalFormatting>
  <conditionalFormatting sqref="S10">
    <cfRule type="containsBlanks" dxfId="564" priority="1253">
      <formula>LEN(TRIM(S10))=0</formula>
    </cfRule>
    <cfRule type="containsBlanks" priority="1254">
      <formula>LEN(TRIM(S10))=0</formula>
    </cfRule>
  </conditionalFormatting>
  <conditionalFormatting sqref="S10">
    <cfRule type="containsBlanks" dxfId="563" priority="1251">
      <formula>LEN(TRIM(S10))=0</formula>
    </cfRule>
    <cfRule type="containsBlanks" priority="1252">
      <formula>LEN(TRIM(S10))=0</formula>
    </cfRule>
  </conditionalFormatting>
  <conditionalFormatting sqref="S10">
    <cfRule type="containsBlanks" dxfId="562" priority="1249">
      <formula>LEN(TRIM(S10))=0</formula>
    </cfRule>
    <cfRule type="containsBlanks" priority="1250">
      <formula>LEN(TRIM(S10))=0</formula>
    </cfRule>
  </conditionalFormatting>
  <conditionalFormatting sqref="S10">
    <cfRule type="containsBlanks" dxfId="561" priority="1247">
      <formula>LEN(TRIM(S10))=0</formula>
    </cfRule>
    <cfRule type="containsBlanks" priority="1248">
      <formula>LEN(TRIM(S10))=0</formula>
    </cfRule>
  </conditionalFormatting>
  <conditionalFormatting sqref="S10">
    <cfRule type="containsBlanks" dxfId="560" priority="1245">
      <formula>LEN(TRIM(S10))=0</formula>
    </cfRule>
    <cfRule type="containsBlanks" priority="1246">
      <formula>LEN(TRIM(S10))=0</formula>
    </cfRule>
  </conditionalFormatting>
  <conditionalFormatting sqref="S10">
    <cfRule type="containsBlanks" dxfId="559" priority="1243">
      <formula>LEN(TRIM(S10))=0</formula>
    </cfRule>
    <cfRule type="containsBlanks" priority="1244">
      <formula>LEN(TRIM(S10))=0</formula>
    </cfRule>
  </conditionalFormatting>
  <conditionalFormatting sqref="U8:U9">
    <cfRule type="containsBlanks" dxfId="558" priority="1231">
      <formula>LEN(TRIM(U8))=0</formula>
    </cfRule>
    <cfRule type="containsBlanks" priority="1232">
      <formula>LEN(TRIM(U8))=0</formula>
    </cfRule>
  </conditionalFormatting>
  <conditionalFormatting sqref="U10">
    <cfRule type="containsBlanks" dxfId="557" priority="1217">
      <formula>LEN(TRIM(U10))=0</formula>
    </cfRule>
    <cfRule type="containsBlanks" priority="1218">
      <formula>LEN(TRIM(U10))=0</formula>
    </cfRule>
  </conditionalFormatting>
  <conditionalFormatting sqref="U10">
    <cfRule type="containsBlanks" dxfId="556" priority="1215">
      <formula>LEN(TRIM(U10))=0</formula>
    </cfRule>
    <cfRule type="containsBlanks" priority="1216">
      <formula>LEN(TRIM(U10))=0</formula>
    </cfRule>
  </conditionalFormatting>
  <conditionalFormatting sqref="U10">
    <cfRule type="containsBlanks" dxfId="555" priority="1213">
      <formula>LEN(TRIM(U10))=0</formula>
    </cfRule>
    <cfRule type="containsBlanks" priority="1214">
      <formula>LEN(TRIM(U10))=0</formula>
    </cfRule>
  </conditionalFormatting>
  <conditionalFormatting sqref="U10">
    <cfRule type="containsBlanks" dxfId="554" priority="1211">
      <formula>LEN(TRIM(U10))=0</formula>
    </cfRule>
    <cfRule type="containsBlanks" priority="1212">
      <formula>LEN(TRIM(U10))=0</formula>
    </cfRule>
  </conditionalFormatting>
  <conditionalFormatting sqref="U10">
    <cfRule type="containsBlanks" dxfId="553" priority="1209">
      <formula>LEN(TRIM(U10))=0</formula>
    </cfRule>
    <cfRule type="containsBlanks" priority="1210">
      <formula>LEN(TRIM(U10))=0</formula>
    </cfRule>
  </conditionalFormatting>
  <conditionalFormatting sqref="U10">
    <cfRule type="containsBlanks" dxfId="552" priority="1207">
      <formula>LEN(TRIM(U10))=0</formula>
    </cfRule>
    <cfRule type="containsBlanks" priority="1208">
      <formula>LEN(TRIM(U10))=0</formula>
    </cfRule>
  </conditionalFormatting>
  <conditionalFormatting sqref="U10">
    <cfRule type="containsBlanks" dxfId="551" priority="1205">
      <formula>LEN(TRIM(U10))=0</formula>
    </cfRule>
    <cfRule type="containsBlanks" priority="1206">
      <formula>LEN(TRIM(U10))=0</formula>
    </cfRule>
  </conditionalFormatting>
  <conditionalFormatting sqref="U10">
    <cfRule type="containsBlanks" dxfId="550" priority="1203">
      <formula>LEN(TRIM(U10))=0</formula>
    </cfRule>
    <cfRule type="containsBlanks" priority="1204">
      <formula>LEN(TRIM(U10))=0</formula>
    </cfRule>
  </conditionalFormatting>
  <conditionalFormatting sqref="U10">
    <cfRule type="containsBlanks" dxfId="549" priority="1201">
      <formula>LEN(TRIM(U10))=0</formula>
    </cfRule>
    <cfRule type="containsBlanks" priority="1202">
      <formula>LEN(TRIM(U10))=0</formula>
    </cfRule>
  </conditionalFormatting>
  <conditionalFormatting sqref="U10">
    <cfRule type="containsBlanks" dxfId="548" priority="1199">
      <formula>LEN(TRIM(U10))=0</formula>
    </cfRule>
    <cfRule type="containsBlanks" priority="1200">
      <formula>LEN(TRIM(U10))=0</formula>
    </cfRule>
  </conditionalFormatting>
  <conditionalFormatting sqref="U10">
    <cfRule type="containsBlanks" dxfId="547" priority="1197">
      <formula>LEN(TRIM(U10))=0</formula>
    </cfRule>
    <cfRule type="containsBlanks" priority="1198">
      <formula>LEN(TRIM(U10))=0</formula>
    </cfRule>
  </conditionalFormatting>
  <conditionalFormatting sqref="U10">
    <cfRule type="containsBlanks" dxfId="546" priority="1195">
      <formula>LEN(TRIM(U10))=0</formula>
    </cfRule>
    <cfRule type="containsBlanks" priority="1196">
      <formula>LEN(TRIM(U10))=0</formula>
    </cfRule>
  </conditionalFormatting>
  <conditionalFormatting sqref="V16">
    <cfRule type="containsBlanks" dxfId="545" priority="1193">
      <formula>LEN(TRIM(V16))=0</formula>
    </cfRule>
    <cfRule type="containsBlanks" priority="1194">
      <formula>LEN(TRIM(V16))=0</formula>
    </cfRule>
  </conditionalFormatting>
  <conditionalFormatting sqref="V4 X4">
    <cfRule type="containsBlanks" dxfId="544" priority="1191">
      <formula>LEN(TRIM(V4))=0</formula>
    </cfRule>
    <cfRule type="containsBlanks" priority="1192">
      <formula>LEN(TRIM(V4))=0</formula>
    </cfRule>
  </conditionalFormatting>
  <conditionalFormatting sqref="U5">
    <cfRule type="containsBlanks" dxfId="543" priority="1189">
      <formula>LEN(TRIM(U5))=0</formula>
    </cfRule>
    <cfRule type="containsBlanks" priority="1190">
      <formula>LEN(TRIM(U5))=0</formula>
    </cfRule>
  </conditionalFormatting>
  <conditionalFormatting sqref="V8">
    <cfRule type="containsBlanks" dxfId="542" priority="1187">
      <formula>LEN(TRIM(V8))=0</formula>
    </cfRule>
    <cfRule type="containsBlanks" priority="1188">
      <formula>LEN(TRIM(V8))=0</formula>
    </cfRule>
  </conditionalFormatting>
  <conditionalFormatting sqref="U13">
    <cfRule type="containsBlanks" dxfId="541" priority="1185">
      <formula>LEN(TRIM(U13))=0</formula>
    </cfRule>
    <cfRule type="containsBlanks" priority="1186">
      <formula>LEN(TRIM(U13))=0</formula>
    </cfRule>
  </conditionalFormatting>
  <conditionalFormatting sqref="V5 X5">
    <cfRule type="containsBlanks" dxfId="540" priority="1181">
      <formula>LEN(TRIM(V5))=0</formula>
    </cfRule>
    <cfRule type="containsBlanks" priority="1182">
      <formula>LEN(TRIM(V5))=0</formula>
    </cfRule>
  </conditionalFormatting>
  <conditionalFormatting sqref="V9">
    <cfRule type="containsBlanks" dxfId="539" priority="1179">
      <formula>LEN(TRIM(V9))=0</formula>
    </cfRule>
    <cfRule type="containsBlanks" priority="1180">
      <formula>LEN(TRIM(V9))=0</formula>
    </cfRule>
  </conditionalFormatting>
  <conditionalFormatting sqref="W10">
    <cfRule type="containsBlanks" dxfId="538" priority="1177">
      <formula>LEN(TRIM(W10))=0</formula>
    </cfRule>
    <cfRule type="containsBlanks" priority="1178">
      <formula>LEN(TRIM(W10))=0</formula>
    </cfRule>
  </conditionalFormatting>
  <conditionalFormatting sqref="W10">
    <cfRule type="containsBlanks" dxfId="537" priority="1175">
      <formula>LEN(TRIM(W10))=0</formula>
    </cfRule>
    <cfRule type="containsBlanks" priority="1176">
      <formula>LEN(TRIM(W10))=0</formula>
    </cfRule>
  </conditionalFormatting>
  <conditionalFormatting sqref="W10">
    <cfRule type="containsBlanks" dxfId="536" priority="1173">
      <formula>LEN(TRIM(W10))=0</formula>
    </cfRule>
    <cfRule type="containsBlanks" priority="1174">
      <formula>LEN(TRIM(W10))=0</formula>
    </cfRule>
  </conditionalFormatting>
  <conditionalFormatting sqref="W10">
    <cfRule type="containsBlanks" dxfId="535" priority="1171">
      <formula>LEN(TRIM(W10))=0</formula>
    </cfRule>
    <cfRule type="containsBlanks" priority="1172">
      <formula>LEN(TRIM(W10))=0</formula>
    </cfRule>
  </conditionalFormatting>
  <conditionalFormatting sqref="W8">
    <cfRule type="containsBlanks" dxfId="534" priority="1169">
      <formula>LEN(TRIM(W8))=0</formula>
    </cfRule>
    <cfRule type="containsBlanks" priority="1170">
      <formula>LEN(TRIM(W8))=0</formula>
    </cfRule>
  </conditionalFormatting>
  <conditionalFormatting sqref="W9">
    <cfRule type="containsBlanks" dxfId="533" priority="1167">
      <formula>LEN(TRIM(W9))=0</formula>
    </cfRule>
    <cfRule type="containsBlanks" priority="1168">
      <formula>LEN(TRIM(W9))=0</formula>
    </cfRule>
  </conditionalFormatting>
  <conditionalFormatting sqref="X10">
    <cfRule type="containsBlanks" dxfId="532" priority="1165">
      <formula>LEN(TRIM(X10))=0</formula>
    </cfRule>
    <cfRule type="containsBlanks" priority="1166">
      <formula>LEN(TRIM(X10))=0</formula>
    </cfRule>
  </conditionalFormatting>
  <conditionalFormatting sqref="X10">
    <cfRule type="containsBlanks" dxfId="531" priority="1163">
      <formula>LEN(TRIM(X10))=0</formula>
    </cfRule>
    <cfRule type="containsBlanks" priority="1164">
      <formula>LEN(TRIM(X10))=0</formula>
    </cfRule>
  </conditionalFormatting>
  <conditionalFormatting sqref="X10">
    <cfRule type="containsBlanks" dxfId="530" priority="1161">
      <formula>LEN(TRIM(X10))=0</formula>
    </cfRule>
    <cfRule type="containsBlanks" priority="1162">
      <formula>LEN(TRIM(X10))=0</formula>
    </cfRule>
  </conditionalFormatting>
  <conditionalFormatting sqref="X10">
    <cfRule type="containsBlanks" dxfId="529" priority="1159">
      <formula>LEN(TRIM(X10))=0</formula>
    </cfRule>
    <cfRule type="containsBlanks" priority="1160">
      <formula>LEN(TRIM(X10))=0</formula>
    </cfRule>
  </conditionalFormatting>
  <conditionalFormatting sqref="X8">
    <cfRule type="containsBlanks" dxfId="528" priority="1157">
      <formula>LEN(TRIM(X8))=0</formula>
    </cfRule>
    <cfRule type="containsBlanks" priority="1158">
      <formula>LEN(TRIM(X8))=0</formula>
    </cfRule>
  </conditionalFormatting>
  <conditionalFormatting sqref="X9">
    <cfRule type="containsBlanks" dxfId="527" priority="1155">
      <formula>LEN(TRIM(X9))=0</formula>
    </cfRule>
    <cfRule type="containsBlanks" priority="1156">
      <formula>LEN(TRIM(X9))=0</formula>
    </cfRule>
  </conditionalFormatting>
  <conditionalFormatting sqref="V12">
    <cfRule type="containsBlanks" dxfId="526" priority="1153">
      <formula>LEN(TRIM(V12))=0</formula>
    </cfRule>
    <cfRule type="containsBlanks" priority="1154">
      <formula>LEN(TRIM(V12))=0</formula>
    </cfRule>
  </conditionalFormatting>
  <conditionalFormatting sqref="V13">
    <cfRule type="containsBlanks" dxfId="525" priority="1151">
      <formula>LEN(TRIM(V13))=0</formula>
    </cfRule>
    <cfRule type="containsBlanks" priority="1152">
      <formula>LEN(TRIM(V13))=0</formula>
    </cfRule>
  </conditionalFormatting>
  <conditionalFormatting sqref="W14">
    <cfRule type="containsBlanks" dxfId="524" priority="1149">
      <formula>LEN(TRIM(W14))=0</formula>
    </cfRule>
    <cfRule type="containsBlanks" priority="1150">
      <formula>LEN(TRIM(W14))=0</formula>
    </cfRule>
  </conditionalFormatting>
  <conditionalFormatting sqref="W14">
    <cfRule type="containsBlanks" dxfId="523" priority="1147">
      <formula>LEN(TRIM(W14))=0</formula>
    </cfRule>
    <cfRule type="containsBlanks" priority="1148">
      <formula>LEN(TRIM(W14))=0</formula>
    </cfRule>
  </conditionalFormatting>
  <conditionalFormatting sqref="W14">
    <cfRule type="containsBlanks" dxfId="522" priority="1145">
      <formula>LEN(TRIM(W14))=0</formula>
    </cfRule>
    <cfRule type="containsBlanks" priority="1146">
      <formula>LEN(TRIM(W14))=0</formula>
    </cfRule>
  </conditionalFormatting>
  <conditionalFormatting sqref="W14">
    <cfRule type="containsBlanks" dxfId="521" priority="1143">
      <formula>LEN(TRIM(W14))=0</formula>
    </cfRule>
    <cfRule type="containsBlanks" priority="1144">
      <formula>LEN(TRIM(W14))=0</formula>
    </cfRule>
  </conditionalFormatting>
  <conditionalFormatting sqref="W12">
    <cfRule type="containsBlanks" dxfId="520" priority="1141">
      <formula>LEN(TRIM(W12))=0</formula>
    </cfRule>
    <cfRule type="containsBlanks" priority="1142">
      <formula>LEN(TRIM(W12))=0</formula>
    </cfRule>
  </conditionalFormatting>
  <conditionalFormatting sqref="W13">
    <cfRule type="containsBlanks" dxfId="519" priority="1139">
      <formula>LEN(TRIM(W13))=0</formula>
    </cfRule>
    <cfRule type="containsBlanks" priority="1140">
      <formula>LEN(TRIM(W13))=0</formula>
    </cfRule>
  </conditionalFormatting>
  <conditionalFormatting sqref="X14">
    <cfRule type="containsBlanks" dxfId="518" priority="1137">
      <formula>LEN(TRIM(X14))=0</formula>
    </cfRule>
    <cfRule type="containsBlanks" priority="1138">
      <formula>LEN(TRIM(X14))=0</formula>
    </cfRule>
  </conditionalFormatting>
  <conditionalFormatting sqref="X14">
    <cfRule type="containsBlanks" dxfId="517" priority="1135">
      <formula>LEN(TRIM(X14))=0</formula>
    </cfRule>
    <cfRule type="containsBlanks" priority="1136">
      <formula>LEN(TRIM(X14))=0</formula>
    </cfRule>
  </conditionalFormatting>
  <conditionalFormatting sqref="X14">
    <cfRule type="containsBlanks" dxfId="516" priority="1133">
      <formula>LEN(TRIM(X14))=0</formula>
    </cfRule>
    <cfRule type="containsBlanks" priority="1134">
      <formula>LEN(TRIM(X14))=0</formula>
    </cfRule>
  </conditionalFormatting>
  <conditionalFormatting sqref="X14">
    <cfRule type="containsBlanks" dxfId="515" priority="1131">
      <formula>LEN(TRIM(X14))=0</formula>
    </cfRule>
    <cfRule type="containsBlanks" priority="1132">
      <formula>LEN(TRIM(X14))=0</formula>
    </cfRule>
  </conditionalFormatting>
  <conditionalFormatting sqref="X12">
    <cfRule type="containsBlanks" dxfId="514" priority="1129">
      <formula>LEN(TRIM(X12))=0</formula>
    </cfRule>
    <cfRule type="containsBlanks" priority="1130">
      <formula>LEN(TRIM(X12))=0</formula>
    </cfRule>
  </conditionalFormatting>
  <conditionalFormatting sqref="X13">
    <cfRule type="containsBlanks" dxfId="513" priority="1127">
      <formula>LEN(TRIM(X13))=0</formula>
    </cfRule>
    <cfRule type="containsBlanks" priority="1128">
      <formula>LEN(TRIM(X13))=0</formula>
    </cfRule>
  </conditionalFormatting>
  <conditionalFormatting sqref="W18">
    <cfRule type="containsBlanks" dxfId="512" priority="1125">
      <formula>LEN(TRIM(W18))=0</formula>
    </cfRule>
    <cfRule type="containsBlanks" priority="1126">
      <formula>LEN(TRIM(W18))=0</formula>
    </cfRule>
  </conditionalFormatting>
  <conditionalFormatting sqref="W18">
    <cfRule type="containsBlanks" dxfId="511" priority="1123">
      <formula>LEN(TRIM(W18))=0</formula>
    </cfRule>
    <cfRule type="containsBlanks" priority="1124">
      <formula>LEN(TRIM(W18))=0</formula>
    </cfRule>
  </conditionalFormatting>
  <conditionalFormatting sqref="W18">
    <cfRule type="containsBlanks" dxfId="510" priority="1121">
      <formula>LEN(TRIM(W18))=0</formula>
    </cfRule>
    <cfRule type="containsBlanks" priority="1122">
      <formula>LEN(TRIM(W18))=0</formula>
    </cfRule>
  </conditionalFormatting>
  <conditionalFormatting sqref="W18">
    <cfRule type="containsBlanks" dxfId="509" priority="1119">
      <formula>LEN(TRIM(W18))=0</formula>
    </cfRule>
    <cfRule type="containsBlanks" priority="1120">
      <formula>LEN(TRIM(W18))=0</formula>
    </cfRule>
  </conditionalFormatting>
  <conditionalFormatting sqref="W16">
    <cfRule type="containsBlanks" dxfId="508" priority="1117">
      <formula>LEN(TRIM(W16))=0</formula>
    </cfRule>
    <cfRule type="containsBlanks" priority="1118">
      <formula>LEN(TRIM(W16))=0</formula>
    </cfRule>
  </conditionalFormatting>
  <conditionalFormatting sqref="W17">
    <cfRule type="containsBlanks" dxfId="507" priority="1115">
      <formula>LEN(TRIM(W17))=0</formula>
    </cfRule>
    <cfRule type="containsBlanks" priority="1116">
      <formula>LEN(TRIM(W17))=0</formula>
    </cfRule>
  </conditionalFormatting>
  <conditionalFormatting sqref="X18">
    <cfRule type="containsBlanks" dxfId="506" priority="1113">
      <formula>LEN(TRIM(X18))=0</formula>
    </cfRule>
    <cfRule type="containsBlanks" priority="1114">
      <formula>LEN(TRIM(X18))=0</formula>
    </cfRule>
  </conditionalFormatting>
  <conditionalFormatting sqref="X18">
    <cfRule type="containsBlanks" dxfId="505" priority="1111">
      <formula>LEN(TRIM(X18))=0</formula>
    </cfRule>
    <cfRule type="containsBlanks" priority="1112">
      <formula>LEN(TRIM(X18))=0</formula>
    </cfRule>
  </conditionalFormatting>
  <conditionalFormatting sqref="X18">
    <cfRule type="containsBlanks" dxfId="504" priority="1109">
      <formula>LEN(TRIM(X18))=0</formula>
    </cfRule>
    <cfRule type="containsBlanks" priority="1110">
      <formula>LEN(TRIM(X18))=0</formula>
    </cfRule>
  </conditionalFormatting>
  <conditionalFormatting sqref="X18">
    <cfRule type="containsBlanks" dxfId="503" priority="1107">
      <formula>LEN(TRIM(X18))=0</formula>
    </cfRule>
    <cfRule type="containsBlanks" priority="1108">
      <formula>LEN(TRIM(X18))=0</formula>
    </cfRule>
  </conditionalFormatting>
  <conditionalFormatting sqref="X16">
    <cfRule type="containsBlanks" dxfId="502" priority="1105">
      <formula>LEN(TRIM(X16))=0</formula>
    </cfRule>
    <cfRule type="containsBlanks" priority="1106">
      <formula>LEN(TRIM(X16))=0</formula>
    </cfRule>
  </conditionalFormatting>
  <conditionalFormatting sqref="Y6">
    <cfRule type="containsBlanks" dxfId="501" priority="1103">
      <formula>LEN(TRIM(Y6))=0</formula>
    </cfRule>
    <cfRule type="containsBlanks" priority="1104">
      <formula>LEN(TRIM(Y6))=0</formula>
    </cfRule>
  </conditionalFormatting>
  <conditionalFormatting sqref="Y6">
    <cfRule type="containsBlanks" dxfId="500" priority="1101">
      <formula>LEN(TRIM(Y6))=0</formula>
    </cfRule>
    <cfRule type="containsBlanks" priority="1102">
      <formula>LEN(TRIM(Y6))=0</formula>
    </cfRule>
  </conditionalFormatting>
  <conditionalFormatting sqref="Y6">
    <cfRule type="containsBlanks" dxfId="499" priority="1099">
      <formula>LEN(TRIM(Y6))=0</formula>
    </cfRule>
    <cfRule type="containsBlanks" priority="1100">
      <formula>LEN(TRIM(Y6))=0</formula>
    </cfRule>
  </conditionalFormatting>
  <conditionalFormatting sqref="Y6">
    <cfRule type="containsBlanks" dxfId="498" priority="1097">
      <formula>LEN(TRIM(Y6))=0</formula>
    </cfRule>
    <cfRule type="containsBlanks" priority="1098">
      <formula>LEN(TRIM(Y6))=0</formula>
    </cfRule>
  </conditionalFormatting>
  <conditionalFormatting sqref="Y4">
    <cfRule type="containsBlanks" dxfId="497" priority="1095">
      <formula>LEN(TRIM(Y4))=0</formula>
    </cfRule>
    <cfRule type="containsBlanks" priority="1096">
      <formula>LEN(TRIM(Y4))=0</formula>
    </cfRule>
  </conditionalFormatting>
  <conditionalFormatting sqref="Y14">
    <cfRule type="containsBlanks" dxfId="496" priority="1079">
      <formula>LEN(TRIM(Y14))=0</formula>
    </cfRule>
    <cfRule type="containsBlanks" priority="1080">
      <formula>LEN(TRIM(Y14))=0</formula>
    </cfRule>
  </conditionalFormatting>
  <conditionalFormatting sqref="Y14">
    <cfRule type="containsBlanks" dxfId="495" priority="1077">
      <formula>LEN(TRIM(Y14))=0</formula>
    </cfRule>
    <cfRule type="containsBlanks" priority="1078">
      <formula>LEN(TRIM(Y14))=0</formula>
    </cfRule>
  </conditionalFormatting>
  <conditionalFormatting sqref="Y14">
    <cfRule type="containsBlanks" dxfId="494" priority="1075">
      <formula>LEN(TRIM(Y14))=0</formula>
    </cfRule>
    <cfRule type="containsBlanks" priority="1076">
      <formula>LEN(TRIM(Y14))=0</formula>
    </cfRule>
  </conditionalFormatting>
  <conditionalFormatting sqref="Y14">
    <cfRule type="containsBlanks" dxfId="493" priority="1073">
      <formula>LEN(TRIM(Y14))=0</formula>
    </cfRule>
    <cfRule type="containsBlanks" priority="1074">
      <formula>LEN(TRIM(Y14))=0</formula>
    </cfRule>
  </conditionalFormatting>
  <conditionalFormatting sqref="Y12">
    <cfRule type="containsBlanks" dxfId="492" priority="1071">
      <formula>LEN(TRIM(Y12))=0</formula>
    </cfRule>
    <cfRule type="containsBlanks" priority="1072">
      <formula>LEN(TRIM(Y12))=0</formula>
    </cfRule>
  </conditionalFormatting>
  <conditionalFormatting sqref="Y18">
    <cfRule type="containsBlanks" dxfId="491" priority="1067">
      <formula>LEN(TRIM(Y18))=0</formula>
    </cfRule>
    <cfRule type="containsBlanks" priority="1068">
      <formula>LEN(TRIM(Y18))=0</formula>
    </cfRule>
  </conditionalFormatting>
  <conditionalFormatting sqref="Y18">
    <cfRule type="containsBlanks" dxfId="490" priority="1065">
      <formula>LEN(TRIM(Y18))=0</formula>
    </cfRule>
    <cfRule type="containsBlanks" priority="1066">
      <formula>LEN(TRIM(Y18))=0</formula>
    </cfRule>
  </conditionalFormatting>
  <conditionalFormatting sqref="Y18">
    <cfRule type="containsBlanks" dxfId="489" priority="1063">
      <formula>LEN(TRIM(Y18))=0</formula>
    </cfRule>
    <cfRule type="containsBlanks" priority="1064">
      <formula>LEN(TRIM(Y18))=0</formula>
    </cfRule>
  </conditionalFormatting>
  <conditionalFormatting sqref="Y18">
    <cfRule type="containsBlanks" dxfId="488" priority="1061">
      <formula>LEN(TRIM(Y18))=0</formula>
    </cfRule>
    <cfRule type="containsBlanks" priority="1062">
      <formula>LEN(TRIM(Y18))=0</formula>
    </cfRule>
  </conditionalFormatting>
  <conditionalFormatting sqref="Y16">
    <cfRule type="containsBlanks" dxfId="487" priority="1059">
      <formula>LEN(TRIM(Y16))=0</formula>
    </cfRule>
    <cfRule type="containsBlanks" priority="1060">
      <formula>LEN(TRIM(Y16))=0</formula>
    </cfRule>
  </conditionalFormatting>
  <conditionalFormatting sqref="Y5">
    <cfRule type="containsBlanks" dxfId="486" priority="1057">
      <formula>LEN(TRIM(Y5))=0</formula>
    </cfRule>
    <cfRule type="containsBlanks" priority="1058">
      <formula>LEN(TRIM(Y5))=0</formula>
    </cfRule>
  </conditionalFormatting>
  <conditionalFormatting sqref="Z6">
    <cfRule type="containsBlanks" dxfId="485" priority="1055">
      <formula>LEN(TRIM(Z6))=0</formula>
    </cfRule>
    <cfRule type="containsBlanks" priority="1056">
      <formula>LEN(TRIM(Z6))=0</formula>
    </cfRule>
  </conditionalFormatting>
  <conditionalFormatting sqref="Z6">
    <cfRule type="containsBlanks" dxfId="484" priority="1053">
      <formula>LEN(TRIM(Z6))=0</formula>
    </cfRule>
    <cfRule type="containsBlanks" priority="1054">
      <formula>LEN(TRIM(Z6))=0</formula>
    </cfRule>
  </conditionalFormatting>
  <conditionalFormatting sqref="Z6">
    <cfRule type="containsBlanks" dxfId="483" priority="1051">
      <formula>LEN(TRIM(Z6))=0</formula>
    </cfRule>
    <cfRule type="containsBlanks" priority="1052">
      <formula>LEN(TRIM(Z6))=0</formula>
    </cfRule>
  </conditionalFormatting>
  <conditionalFormatting sqref="Z6">
    <cfRule type="containsBlanks" dxfId="482" priority="1049">
      <formula>LEN(TRIM(Z6))=0</formula>
    </cfRule>
    <cfRule type="containsBlanks" priority="1050">
      <formula>LEN(TRIM(Z6))=0</formula>
    </cfRule>
  </conditionalFormatting>
  <conditionalFormatting sqref="Z4">
    <cfRule type="containsBlanks" dxfId="481" priority="1047">
      <formula>LEN(TRIM(Z4))=0</formula>
    </cfRule>
    <cfRule type="containsBlanks" priority="1048">
      <formula>LEN(TRIM(Z4))=0</formula>
    </cfRule>
  </conditionalFormatting>
  <conditionalFormatting sqref="Y10">
    <cfRule type="containsBlanks" dxfId="480" priority="1043">
      <formula>LEN(TRIM(Y10))=0</formula>
    </cfRule>
    <cfRule type="containsBlanks" priority="1044">
      <formula>LEN(TRIM(Y10))=0</formula>
    </cfRule>
  </conditionalFormatting>
  <conditionalFormatting sqref="Y10">
    <cfRule type="containsBlanks" dxfId="479" priority="1041">
      <formula>LEN(TRIM(Y10))=0</formula>
    </cfRule>
    <cfRule type="containsBlanks" priority="1042">
      <formula>LEN(TRIM(Y10))=0</formula>
    </cfRule>
  </conditionalFormatting>
  <conditionalFormatting sqref="Y10">
    <cfRule type="containsBlanks" dxfId="478" priority="1039">
      <formula>LEN(TRIM(Y10))=0</formula>
    </cfRule>
    <cfRule type="containsBlanks" priority="1040">
      <formula>LEN(TRIM(Y10))=0</formula>
    </cfRule>
  </conditionalFormatting>
  <conditionalFormatting sqref="Y10">
    <cfRule type="containsBlanks" dxfId="477" priority="1037">
      <formula>LEN(TRIM(Y10))=0</formula>
    </cfRule>
    <cfRule type="containsBlanks" priority="1038">
      <formula>LEN(TRIM(Y10))=0</formula>
    </cfRule>
  </conditionalFormatting>
  <conditionalFormatting sqref="Y8">
    <cfRule type="containsBlanks" dxfId="476" priority="1035">
      <formula>LEN(TRIM(Y8))=0</formula>
    </cfRule>
    <cfRule type="containsBlanks" priority="1036">
      <formula>LEN(TRIM(Y8))=0</formula>
    </cfRule>
  </conditionalFormatting>
  <conditionalFormatting sqref="Y9">
    <cfRule type="containsBlanks" dxfId="475" priority="1033">
      <formula>LEN(TRIM(Y9))=0</formula>
    </cfRule>
    <cfRule type="containsBlanks" priority="1034">
      <formula>LEN(TRIM(Y9))=0</formula>
    </cfRule>
  </conditionalFormatting>
  <conditionalFormatting sqref="Z10">
    <cfRule type="containsBlanks" dxfId="474" priority="1031">
      <formula>LEN(TRIM(Z10))=0</formula>
    </cfRule>
    <cfRule type="containsBlanks" priority="1032">
      <formula>LEN(TRIM(Z10))=0</formula>
    </cfRule>
  </conditionalFormatting>
  <conditionalFormatting sqref="Z10">
    <cfRule type="containsBlanks" dxfId="473" priority="1029">
      <formula>LEN(TRIM(Z10))=0</formula>
    </cfRule>
    <cfRule type="containsBlanks" priority="1030">
      <formula>LEN(TRIM(Z10))=0</formula>
    </cfRule>
  </conditionalFormatting>
  <conditionalFormatting sqref="Z10">
    <cfRule type="containsBlanks" dxfId="472" priority="1027">
      <formula>LEN(TRIM(Z10))=0</formula>
    </cfRule>
    <cfRule type="containsBlanks" priority="1028">
      <formula>LEN(TRIM(Z10))=0</formula>
    </cfRule>
  </conditionalFormatting>
  <conditionalFormatting sqref="Z10">
    <cfRule type="containsBlanks" dxfId="471" priority="1025">
      <formula>LEN(TRIM(Z10))=0</formula>
    </cfRule>
    <cfRule type="containsBlanks" priority="1026">
      <formula>LEN(TRIM(Z10))=0</formula>
    </cfRule>
  </conditionalFormatting>
  <conditionalFormatting sqref="Z8">
    <cfRule type="containsBlanks" dxfId="470" priority="1023">
      <formula>LEN(TRIM(Z8))=0</formula>
    </cfRule>
    <cfRule type="containsBlanks" priority="1024">
      <formula>LEN(TRIM(Z8))=0</formula>
    </cfRule>
  </conditionalFormatting>
  <conditionalFormatting sqref="Y13">
    <cfRule type="containsBlanks" dxfId="469" priority="1019">
      <formula>LEN(TRIM(Y13))=0</formula>
    </cfRule>
    <cfRule type="containsBlanks" priority="1020">
      <formula>LEN(TRIM(Y13))=0</formula>
    </cfRule>
  </conditionalFormatting>
  <conditionalFormatting sqref="Z14">
    <cfRule type="containsBlanks" dxfId="468" priority="1017">
      <formula>LEN(TRIM(Z14))=0</formula>
    </cfRule>
    <cfRule type="containsBlanks" priority="1018">
      <formula>LEN(TRIM(Z14))=0</formula>
    </cfRule>
  </conditionalFormatting>
  <conditionalFormatting sqref="Z14">
    <cfRule type="containsBlanks" dxfId="467" priority="1015">
      <formula>LEN(TRIM(Z14))=0</formula>
    </cfRule>
    <cfRule type="containsBlanks" priority="1016">
      <formula>LEN(TRIM(Z14))=0</formula>
    </cfRule>
  </conditionalFormatting>
  <conditionalFormatting sqref="Z14">
    <cfRule type="containsBlanks" dxfId="466" priority="1013">
      <formula>LEN(TRIM(Z14))=0</formula>
    </cfRule>
    <cfRule type="containsBlanks" priority="1014">
      <formula>LEN(TRIM(Z14))=0</formula>
    </cfRule>
  </conditionalFormatting>
  <conditionalFormatting sqref="Z14">
    <cfRule type="containsBlanks" dxfId="465" priority="1011">
      <formula>LEN(TRIM(Z14))=0</formula>
    </cfRule>
    <cfRule type="containsBlanks" priority="1012">
      <formula>LEN(TRIM(Z14))=0</formula>
    </cfRule>
  </conditionalFormatting>
  <conditionalFormatting sqref="Z12">
    <cfRule type="containsBlanks" dxfId="464" priority="1009">
      <formula>LEN(TRIM(Z12))=0</formula>
    </cfRule>
    <cfRule type="containsBlanks" priority="1010">
      <formula>LEN(TRIM(Z12))=0</formula>
    </cfRule>
  </conditionalFormatting>
  <conditionalFormatting sqref="Z16">
    <cfRule type="containsBlanks" dxfId="463" priority="1005">
      <formula>LEN(TRIM(Z16))=0</formula>
    </cfRule>
    <cfRule type="containsBlanks" priority="1006">
      <formula>LEN(TRIM(Z16))=0</formula>
    </cfRule>
  </conditionalFormatting>
  <conditionalFormatting sqref="Z5">
    <cfRule type="containsBlanks" dxfId="462" priority="1003">
      <formula>LEN(TRIM(Z5))=0</formula>
    </cfRule>
    <cfRule type="containsBlanks" priority="1004">
      <formula>LEN(TRIM(Z5))=0</formula>
    </cfRule>
  </conditionalFormatting>
  <conditionalFormatting sqref="AA6">
    <cfRule type="containsBlanks" dxfId="461" priority="1001">
      <formula>LEN(TRIM(AA6))=0</formula>
    </cfRule>
    <cfRule type="containsBlanks" priority="1002">
      <formula>LEN(TRIM(AA6))=0</formula>
    </cfRule>
  </conditionalFormatting>
  <conditionalFormatting sqref="AA6">
    <cfRule type="containsBlanks" dxfId="460" priority="999">
      <formula>LEN(TRIM(AA6))=0</formula>
    </cfRule>
    <cfRule type="containsBlanks" priority="1000">
      <formula>LEN(TRIM(AA6))=0</formula>
    </cfRule>
  </conditionalFormatting>
  <conditionalFormatting sqref="AA6">
    <cfRule type="containsBlanks" dxfId="459" priority="997">
      <formula>LEN(TRIM(AA6))=0</formula>
    </cfRule>
    <cfRule type="containsBlanks" priority="998">
      <formula>LEN(TRIM(AA6))=0</formula>
    </cfRule>
  </conditionalFormatting>
  <conditionalFormatting sqref="AA6">
    <cfRule type="containsBlanks" dxfId="458" priority="995">
      <formula>LEN(TRIM(AA6))=0</formula>
    </cfRule>
    <cfRule type="containsBlanks" priority="996">
      <formula>LEN(TRIM(AA6))=0</formula>
    </cfRule>
  </conditionalFormatting>
  <conditionalFormatting sqref="AA4">
    <cfRule type="containsBlanks" dxfId="457" priority="993">
      <formula>LEN(TRIM(AA4))=0</formula>
    </cfRule>
    <cfRule type="containsBlanks" priority="994">
      <formula>LEN(TRIM(AA4))=0</formula>
    </cfRule>
  </conditionalFormatting>
  <conditionalFormatting sqref="AA5">
    <cfRule type="containsBlanks" dxfId="456" priority="991">
      <formula>LEN(TRIM(AA5))=0</formula>
    </cfRule>
    <cfRule type="containsBlanks" priority="992">
      <formula>LEN(TRIM(AA5))=0</formula>
    </cfRule>
  </conditionalFormatting>
  <conditionalFormatting sqref="Z9">
    <cfRule type="containsBlanks" dxfId="455" priority="989">
      <formula>LEN(TRIM(Z9))=0</formula>
    </cfRule>
    <cfRule type="containsBlanks" priority="990">
      <formula>LEN(TRIM(Z9))=0</formula>
    </cfRule>
  </conditionalFormatting>
  <conditionalFormatting sqref="AA10">
    <cfRule type="containsBlanks" dxfId="454" priority="987">
      <formula>LEN(TRIM(AA10))=0</formula>
    </cfRule>
    <cfRule type="containsBlanks" priority="988">
      <formula>LEN(TRIM(AA10))=0</formula>
    </cfRule>
  </conditionalFormatting>
  <conditionalFormatting sqref="AA10">
    <cfRule type="containsBlanks" dxfId="453" priority="985">
      <formula>LEN(TRIM(AA10))=0</formula>
    </cfRule>
    <cfRule type="containsBlanks" priority="986">
      <formula>LEN(TRIM(AA10))=0</formula>
    </cfRule>
  </conditionalFormatting>
  <conditionalFormatting sqref="AA10">
    <cfRule type="containsBlanks" dxfId="452" priority="983">
      <formula>LEN(TRIM(AA10))=0</formula>
    </cfRule>
    <cfRule type="containsBlanks" priority="984">
      <formula>LEN(TRIM(AA10))=0</formula>
    </cfRule>
  </conditionalFormatting>
  <conditionalFormatting sqref="AA10">
    <cfRule type="containsBlanks" dxfId="451" priority="981">
      <formula>LEN(TRIM(AA10))=0</formula>
    </cfRule>
    <cfRule type="containsBlanks" priority="982">
      <formula>LEN(TRIM(AA10))=0</formula>
    </cfRule>
  </conditionalFormatting>
  <conditionalFormatting sqref="AA8">
    <cfRule type="containsBlanks" dxfId="450" priority="979">
      <formula>LEN(TRIM(AA8))=0</formula>
    </cfRule>
    <cfRule type="containsBlanks" priority="980">
      <formula>LEN(TRIM(AA8))=0</formula>
    </cfRule>
  </conditionalFormatting>
  <conditionalFormatting sqref="AA9">
    <cfRule type="containsBlanks" dxfId="449" priority="977">
      <formula>LEN(TRIM(AA9))=0</formula>
    </cfRule>
    <cfRule type="containsBlanks" priority="978">
      <formula>LEN(TRIM(AA9))=0</formula>
    </cfRule>
  </conditionalFormatting>
  <conditionalFormatting sqref="Z13">
    <cfRule type="containsBlanks" dxfId="448" priority="975">
      <formula>LEN(TRIM(Z13))=0</formula>
    </cfRule>
    <cfRule type="containsBlanks" priority="976">
      <formula>LEN(TRIM(Z13))=0</formula>
    </cfRule>
  </conditionalFormatting>
  <conditionalFormatting sqref="AA14">
    <cfRule type="containsBlanks" dxfId="447" priority="973">
      <formula>LEN(TRIM(AA14))=0</formula>
    </cfRule>
    <cfRule type="containsBlanks" priority="974">
      <formula>LEN(TRIM(AA14))=0</formula>
    </cfRule>
  </conditionalFormatting>
  <conditionalFormatting sqref="AA14">
    <cfRule type="containsBlanks" dxfId="446" priority="971">
      <formula>LEN(TRIM(AA14))=0</formula>
    </cfRule>
    <cfRule type="containsBlanks" priority="972">
      <formula>LEN(TRIM(AA14))=0</formula>
    </cfRule>
  </conditionalFormatting>
  <conditionalFormatting sqref="AA14">
    <cfRule type="containsBlanks" dxfId="445" priority="969">
      <formula>LEN(TRIM(AA14))=0</formula>
    </cfRule>
    <cfRule type="containsBlanks" priority="970">
      <formula>LEN(TRIM(AA14))=0</formula>
    </cfRule>
  </conditionalFormatting>
  <conditionalFormatting sqref="AA14">
    <cfRule type="containsBlanks" dxfId="444" priority="967">
      <formula>LEN(TRIM(AA14))=0</formula>
    </cfRule>
    <cfRule type="containsBlanks" priority="968">
      <formula>LEN(TRIM(AA14))=0</formula>
    </cfRule>
  </conditionalFormatting>
  <conditionalFormatting sqref="AA12">
    <cfRule type="containsBlanks" dxfId="443" priority="965">
      <formula>LEN(TRIM(AA12))=0</formula>
    </cfRule>
    <cfRule type="containsBlanks" priority="966">
      <formula>LEN(TRIM(AA12))=0</formula>
    </cfRule>
  </conditionalFormatting>
  <conditionalFormatting sqref="AA13">
    <cfRule type="containsBlanks" dxfId="442" priority="963">
      <formula>LEN(TRIM(AA13))=0</formula>
    </cfRule>
    <cfRule type="containsBlanks" priority="964">
      <formula>LEN(TRIM(AA13))=0</formula>
    </cfRule>
  </conditionalFormatting>
  <conditionalFormatting sqref="AA18">
    <cfRule type="containsBlanks" dxfId="441" priority="961">
      <formula>LEN(TRIM(AA18))=0</formula>
    </cfRule>
    <cfRule type="containsBlanks" priority="962">
      <formula>LEN(TRIM(AA18))=0</formula>
    </cfRule>
  </conditionalFormatting>
  <conditionalFormatting sqref="AA18">
    <cfRule type="containsBlanks" dxfId="440" priority="959">
      <formula>LEN(TRIM(AA18))=0</formula>
    </cfRule>
    <cfRule type="containsBlanks" priority="960">
      <formula>LEN(TRIM(AA18))=0</formula>
    </cfRule>
  </conditionalFormatting>
  <conditionalFormatting sqref="AA18">
    <cfRule type="containsBlanks" dxfId="439" priority="957">
      <formula>LEN(TRIM(AA18))=0</formula>
    </cfRule>
    <cfRule type="containsBlanks" priority="958">
      <formula>LEN(TRIM(AA18))=0</formula>
    </cfRule>
  </conditionalFormatting>
  <conditionalFormatting sqref="AA18">
    <cfRule type="containsBlanks" dxfId="438" priority="955">
      <formula>LEN(TRIM(AA18))=0</formula>
    </cfRule>
    <cfRule type="containsBlanks" priority="956">
      <formula>LEN(TRIM(AA18))=0</formula>
    </cfRule>
  </conditionalFormatting>
  <conditionalFormatting sqref="AA16">
    <cfRule type="containsBlanks" dxfId="437" priority="953">
      <formula>LEN(TRIM(AA16))=0</formula>
    </cfRule>
    <cfRule type="containsBlanks" priority="954">
      <formula>LEN(TRIM(AA16))=0</formula>
    </cfRule>
  </conditionalFormatting>
  <conditionalFormatting sqref="AB6">
    <cfRule type="containsBlanks" dxfId="436" priority="951">
      <formula>LEN(TRIM(AB6))=0</formula>
    </cfRule>
    <cfRule type="containsBlanks" priority="952">
      <formula>LEN(TRIM(AB6))=0</formula>
    </cfRule>
  </conditionalFormatting>
  <conditionalFormatting sqref="AB6">
    <cfRule type="containsBlanks" dxfId="435" priority="949">
      <formula>LEN(TRIM(AB6))=0</formula>
    </cfRule>
    <cfRule type="containsBlanks" priority="950">
      <formula>LEN(TRIM(AB6))=0</formula>
    </cfRule>
  </conditionalFormatting>
  <conditionalFormatting sqref="AB6">
    <cfRule type="containsBlanks" dxfId="434" priority="947">
      <formula>LEN(TRIM(AB6))=0</formula>
    </cfRule>
    <cfRule type="containsBlanks" priority="948">
      <formula>LEN(TRIM(AB6))=0</formula>
    </cfRule>
  </conditionalFormatting>
  <conditionalFormatting sqref="AB6">
    <cfRule type="containsBlanks" dxfId="433" priority="945">
      <formula>LEN(TRIM(AB6))=0</formula>
    </cfRule>
    <cfRule type="containsBlanks" priority="946">
      <formula>LEN(TRIM(AB6))=0</formula>
    </cfRule>
  </conditionalFormatting>
  <conditionalFormatting sqref="AB4">
    <cfRule type="containsBlanks" dxfId="432" priority="943">
      <formula>LEN(TRIM(AB4))=0</formula>
    </cfRule>
    <cfRule type="containsBlanks" priority="944">
      <formula>LEN(TRIM(AB4))=0</formula>
    </cfRule>
  </conditionalFormatting>
  <conditionalFormatting sqref="AB5">
    <cfRule type="containsBlanks" dxfId="431" priority="941">
      <formula>LEN(TRIM(AB5))=0</formula>
    </cfRule>
    <cfRule type="containsBlanks" priority="942">
      <formula>LEN(TRIM(AB5))=0</formula>
    </cfRule>
  </conditionalFormatting>
  <conditionalFormatting sqref="AB10">
    <cfRule type="containsBlanks" dxfId="430" priority="939">
      <formula>LEN(TRIM(AB10))=0</formula>
    </cfRule>
    <cfRule type="containsBlanks" priority="940">
      <formula>LEN(TRIM(AB10))=0</formula>
    </cfRule>
  </conditionalFormatting>
  <conditionalFormatting sqref="AB10">
    <cfRule type="containsBlanks" dxfId="429" priority="937">
      <formula>LEN(TRIM(AB10))=0</formula>
    </cfRule>
    <cfRule type="containsBlanks" priority="938">
      <formula>LEN(TRIM(AB10))=0</formula>
    </cfRule>
  </conditionalFormatting>
  <conditionalFormatting sqref="AB10">
    <cfRule type="containsBlanks" dxfId="428" priority="935">
      <formula>LEN(TRIM(AB10))=0</formula>
    </cfRule>
    <cfRule type="containsBlanks" priority="936">
      <formula>LEN(TRIM(AB10))=0</formula>
    </cfRule>
  </conditionalFormatting>
  <conditionalFormatting sqref="AB10">
    <cfRule type="containsBlanks" dxfId="427" priority="933">
      <formula>LEN(TRIM(AB10))=0</formula>
    </cfRule>
    <cfRule type="containsBlanks" priority="934">
      <formula>LEN(TRIM(AB10))=0</formula>
    </cfRule>
  </conditionalFormatting>
  <conditionalFormatting sqref="AB8">
    <cfRule type="containsBlanks" dxfId="426" priority="931">
      <formula>LEN(TRIM(AB8))=0</formula>
    </cfRule>
    <cfRule type="containsBlanks" priority="932">
      <formula>LEN(TRIM(AB8))=0</formula>
    </cfRule>
  </conditionalFormatting>
  <conditionalFormatting sqref="AB9">
    <cfRule type="containsBlanks" dxfId="425" priority="929">
      <formula>LEN(TRIM(AB9))=0</formula>
    </cfRule>
    <cfRule type="containsBlanks" priority="930">
      <formula>LEN(TRIM(AB9))=0</formula>
    </cfRule>
  </conditionalFormatting>
  <conditionalFormatting sqref="AB14">
    <cfRule type="containsBlanks" dxfId="424" priority="927">
      <formula>LEN(TRIM(AB14))=0</formula>
    </cfRule>
    <cfRule type="containsBlanks" priority="928">
      <formula>LEN(TRIM(AB14))=0</formula>
    </cfRule>
  </conditionalFormatting>
  <conditionalFormatting sqref="AB14">
    <cfRule type="containsBlanks" dxfId="423" priority="925">
      <formula>LEN(TRIM(AB14))=0</formula>
    </cfRule>
    <cfRule type="containsBlanks" priority="926">
      <formula>LEN(TRIM(AB14))=0</formula>
    </cfRule>
  </conditionalFormatting>
  <conditionalFormatting sqref="AB14">
    <cfRule type="containsBlanks" dxfId="422" priority="923">
      <formula>LEN(TRIM(AB14))=0</formula>
    </cfRule>
    <cfRule type="containsBlanks" priority="924">
      <formula>LEN(TRIM(AB14))=0</formula>
    </cfRule>
  </conditionalFormatting>
  <conditionalFormatting sqref="AB14">
    <cfRule type="containsBlanks" dxfId="421" priority="921">
      <formula>LEN(TRIM(AB14))=0</formula>
    </cfRule>
    <cfRule type="containsBlanks" priority="922">
      <formula>LEN(TRIM(AB14))=0</formula>
    </cfRule>
  </conditionalFormatting>
  <conditionalFormatting sqref="AB12">
    <cfRule type="containsBlanks" dxfId="420" priority="919">
      <formula>LEN(TRIM(AB12))=0</formula>
    </cfRule>
    <cfRule type="containsBlanks" priority="920">
      <formula>LEN(TRIM(AB12))=0</formula>
    </cfRule>
  </conditionalFormatting>
  <conditionalFormatting sqref="AB13">
    <cfRule type="containsBlanks" dxfId="419" priority="917">
      <formula>LEN(TRIM(AB13))=0</formula>
    </cfRule>
    <cfRule type="containsBlanks" priority="918">
      <formula>LEN(TRIM(AB13))=0</formula>
    </cfRule>
  </conditionalFormatting>
  <conditionalFormatting sqref="AA17">
    <cfRule type="containsBlanks" dxfId="418" priority="915">
      <formula>LEN(TRIM(AA17))=0</formula>
    </cfRule>
    <cfRule type="containsBlanks" priority="916">
      <formula>LEN(TRIM(AA17))=0</formula>
    </cfRule>
  </conditionalFormatting>
  <conditionalFormatting sqref="AB18">
    <cfRule type="containsBlanks" dxfId="417" priority="913">
      <formula>LEN(TRIM(AB18))=0</formula>
    </cfRule>
    <cfRule type="containsBlanks" priority="914">
      <formula>LEN(TRIM(AB18))=0</formula>
    </cfRule>
  </conditionalFormatting>
  <conditionalFormatting sqref="AB18">
    <cfRule type="containsBlanks" dxfId="416" priority="911">
      <formula>LEN(TRIM(AB18))=0</formula>
    </cfRule>
    <cfRule type="containsBlanks" priority="912">
      <formula>LEN(TRIM(AB18))=0</formula>
    </cfRule>
  </conditionalFormatting>
  <conditionalFormatting sqref="AB18">
    <cfRule type="containsBlanks" dxfId="415" priority="909">
      <formula>LEN(TRIM(AB18))=0</formula>
    </cfRule>
    <cfRule type="containsBlanks" priority="910">
      <formula>LEN(TRIM(AB18))=0</formula>
    </cfRule>
  </conditionalFormatting>
  <conditionalFormatting sqref="AB18">
    <cfRule type="containsBlanks" dxfId="414" priority="907">
      <formula>LEN(TRIM(AB18))=0</formula>
    </cfRule>
    <cfRule type="containsBlanks" priority="908">
      <formula>LEN(TRIM(AB18))=0</formula>
    </cfRule>
  </conditionalFormatting>
  <conditionalFormatting sqref="AB16">
    <cfRule type="containsBlanks" dxfId="413" priority="905">
      <formula>LEN(TRIM(AB16))=0</formula>
    </cfRule>
    <cfRule type="containsBlanks" priority="906">
      <formula>LEN(TRIM(AB16))=0</formula>
    </cfRule>
  </conditionalFormatting>
  <conditionalFormatting sqref="AB17">
    <cfRule type="containsBlanks" dxfId="412" priority="903">
      <formula>LEN(TRIM(AB17))=0</formula>
    </cfRule>
    <cfRule type="containsBlanks" priority="904">
      <formula>LEN(TRIM(AB17))=0</formula>
    </cfRule>
  </conditionalFormatting>
  <conditionalFormatting sqref="AC6">
    <cfRule type="containsBlanks" dxfId="411" priority="901">
      <formula>LEN(TRIM(AC6))=0</formula>
    </cfRule>
    <cfRule type="containsBlanks" priority="902">
      <formula>LEN(TRIM(AC6))=0</formula>
    </cfRule>
  </conditionalFormatting>
  <conditionalFormatting sqref="AC6">
    <cfRule type="containsBlanks" dxfId="410" priority="899">
      <formula>LEN(TRIM(AC6))=0</formula>
    </cfRule>
    <cfRule type="containsBlanks" priority="900">
      <formula>LEN(TRIM(AC6))=0</formula>
    </cfRule>
  </conditionalFormatting>
  <conditionalFormatting sqref="AC6">
    <cfRule type="containsBlanks" dxfId="409" priority="897">
      <formula>LEN(TRIM(AC6))=0</formula>
    </cfRule>
    <cfRule type="containsBlanks" priority="898">
      <formula>LEN(TRIM(AC6))=0</formula>
    </cfRule>
  </conditionalFormatting>
  <conditionalFormatting sqref="AC6">
    <cfRule type="containsBlanks" dxfId="408" priority="895">
      <formula>LEN(TRIM(AC6))=0</formula>
    </cfRule>
    <cfRule type="containsBlanks" priority="896">
      <formula>LEN(TRIM(AC6))=0</formula>
    </cfRule>
  </conditionalFormatting>
  <conditionalFormatting sqref="AC4">
    <cfRule type="containsBlanks" dxfId="407" priority="893">
      <formula>LEN(TRIM(AC4))=0</formula>
    </cfRule>
    <cfRule type="containsBlanks" priority="894">
      <formula>LEN(TRIM(AC4))=0</formula>
    </cfRule>
  </conditionalFormatting>
  <conditionalFormatting sqref="AC5">
    <cfRule type="containsBlanks" dxfId="406" priority="891">
      <formula>LEN(TRIM(AC5))=0</formula>
    </cfRule>
    <cfRule type="containsBlanks" priority="892">
      <formula>LEN(TRIM(AC5))=0</formula>
    </cfRule>
  </conditionalFormatting>
  <conditionalFormatting sqref="AC14">
    <cfRule type="containsBlanks" dxfId="405" priority="877">
      <formula>LEN(TRIM(AC14))=0</formula>
    </cfRule>
    <cfRule type="containsBlanks" priority="878">
      <formula>LEN(TRIM(AC14))=0</formula>
    </cfRule>
  </conditionalFormatting>
  <conditionalFormatting sqref="AC14">
    <cfRule type="containsBlanks" dxfId="404" priority="875">
      <formula>LEN(TRIM(AC14))=0</formula>
    </cfRule>
    <cfRule type="containsBlanks" priority="876">
      <formula>LEN(TRIM(AC14))=0</formula>
    </cfRule>
  </conditionalFormatting>
  <conditionalFormatting sqref="AC14">
    <cfRule type="containsBlanks" dxfId="403" priority="873">
      <formula>LEN(TRIM(AC14))=0</formula>
    </cfRule>
    <cfRule type="containsBlanks" priority="874">
      <formula>LEN(TRIM(AC14))=0</formula>
    </cfRule>
  </conditionalFormatting>
  <conditionalFormatting sqref="AC14">
    <cfRule type="containsBlanks" dxfId="402" priority="871">
      <formula>LEN(TRIM(AC14))=0</formula>
    </cfRule>
    <cfRule type="containsBlanks" priority="872">
      <formula>LEN(TRIM(AC14))=0</formula>
    </cfRule>
  </conditionalFormatting>
  <conditionalFormatting sqref="AC12">
    <cfRule type="containsBlanks" dxfId="401" priority="869">
      <formula>LEN(TRIM(AC12))=0</formula>
    </cfRule>
    <cfRule type="containsBlanks" priority="870">
      <formula>LEN(TRIM(AC12))=0</formula>
    </cfRule>
  </conditionalFormatting>
  <conditionalFormatting sqref="AC13">
    <cfRule type="containsBlanks" dxfId="400" priority="867">
      <formula>LEN(TRIM(AC13))=0</formula>
    </cfRule>
    <cfRule type="containsBlanks" priority="868">
      <formula>LEN(TRIM(AC13))=0</formula>
    </cfRule>
  </conditionalFormatting>
  <conditionalFormatting sqref="AC18">
    <cfRule type="containsBlanks" dxfId="399" priority="865">
      <formula>LEN(TRIM(AC18))=0</formula>
    </cfRule>
    <cfRule type="containsBlanks" priority="866">
      <formula>LEN(TRIM(AC18))=0</formula>
    </cfRule>
  </conditionalFormatting>
  <conditionalFormatting sqref="AC18">
    <cfRule type="containsBlanks" dxfId="398" priority="863">
      <formula>LEN(TRIM(AC18))=0</formula>
    </cfRule>
    <cfRule type="containsBlanks" priority="864">
      <formula>LEN(TRIM(AC18))=0</formula>
    </cfRule>
  </conditionalFormatting>
  <conditionalFormatting sqref="AC18">
    <cfRule type="containsBlanks" dxfId="397" priority="861">
      <formula>LEN(TRIM(AC18))=0</formula>
    </cfRule>
    <cfRule type="containsBlanks" priority="862">
      <formula>LEN(TRIM(AC18))=0</formula>
    </cfRule>
  </conditionalFormatting>
  <conditionalFormatting sqref="AC18">
    <cfRule type="containsBlanks" dxfId="396" priority="859">
      <formula>LEN(TRIM(AC18))=0</formula>
    </cfRule>
    <cfRule type="containsBlanks" priority="860">
      <formula>LEN(TRIM(AC18))=0</formula>
    </cfRule>
  </conditionalFormatting>
  <conditionalFormatting sqref="AC16">
    <cfRule type="containsBlanks" dxfId="395" priority="857">
      <formula>LEN(TRIM(AC16))=0</formula>
    </cfRule>
    <cfRule type="containsBlanks" priority="858">
      <formula>LEN(TRIM(AC16))=0</formula>
    </cfRule>
  </conditionalFormatting>
  <conditionalFormatting sqref="AC17">
    <cfRule type="containsBlanks" dxfId="394" priority="855">
      <formula>LEN(TRIM(AC17))=0</formula>
    </cfRule>
    <cfRule type="containsBlanks" priority="856">
      <formula>LEN(TRIM(AC17))=0</formula>
    </cfRule>
  </conditionalFormatting>
  <conditionalFormatting sqref="AD6">
    <cfRule type="containsBlanks" dxfId="393" priority="853">
      <formula>LEN(TRIM(AD6))=0</formula>
    </cfRule>
    <cfRule type="containsBlanks" priority="854">
      <formula>LEN(TRIM(AD6))=0</formula>
    </cfRule>
  </conditionalFormatting>
  <conditionalFormatting sqref="AD6">
    <cfRule type="containsBlanks" dxfId="392" priority="851">
      <formula>LEN(TRIM(AD6))=0</formula>
    </cfRule>
    <cfRule type="containsBlanks" priority="852">
      <formula>LEN(TRIM(AD6))=0</formula>
    </cfRule>
  </conditionalFormatting>
  <conditionalFormatting sqref="AD6">
    <cfRule type="containsBlanks" dxfId="391" priority="849">
      <formula>LEN(TRIM(AD6))=0</formula>
    </cfRule>
    <cfRule type="containsBlanks" priority="850">
      <formula>LEN(TRIM(AD6))=0</formula>
    </cfRule>
  </conditionalFormatting>
  <conditionalFormatting sqref="AD6">
    <cfRule type="containsBlanks" dxfId="390" priority="847">
      <formula>LEN(TRIM(AD6))=0</formula>
    </cfRule>
    <cfRule type="containsBlanks" priority="848">
      <formula>LEN(TRIM(AD6))=0</formula>
    </cfRule>
  </conditionalFormatting>
  <conditionalFormatting sqref="AD4">
    <cfRule type="containsBlanks" dxfId="389" priority="845">
      <formula>LEN(TRIM(AD4))=0</formula>
    </cfRule>
    <cfRule type="containsBlanks" priority="846">
      <formula>LEN(TRIM(AD4))=0</formula>
    </cfRule>
  </conditionalFormatting>
  <conditionalFormatting sqref="AD5">
    <cfRule type="containsBlanks" dxfId="388" priority="843">
      <formula>LEN(TRIM(AD5))=0</formula>
    </cfRule>
    <cfRule type="containsBlanks" priority="844">
      <formula>LEN(TRIM(AD5))=0</formula>
    </cfRule>
  </conditionalFormatting>
  <conditionalFormatting sqref="AD14">
    <cfRule type="containsBlanks" dxfId="387" priority="829">
      <formula>LEN(TRIM(AD14))=0</formula>
    </cfRule>
    <cfRule type="containsBlanks" priority="830">
      <formula>LEN(TRIM(AD14))=0</formula>
    </cfRule>
  </conditionalFormatting>
  <conditionalFormatting sqref="AD14">
    <cfRule type="containsBlanks" dxfId="386" priority="827">
      <formula>LEN(TRIM(AD14))=0</formula>
    </cfRule>
    <cfRule type="containsBlanks" priority="828">
      <formula>LEN(TRIM(AD14))=0</formula>
    </cfRule>
  </conditionalFormatting>
  <conditionalFormatting sqref="AD14">
    <cfRule type="containsBlanks" dxfId="385" priority="825">
      <formula>LEN(TRIM(AD14))=0</formula>
    </cfRule>
    <cfRule type="containsBlanks" priority="826">
      <formula>LEN(TRIM(AD14))=0</formula>
    </cfRule>
  </conditionalFormatting>
  <conditionalFormatting sqref="AD14">
    <cfRule type="containsBlanks" dxfId="384" priority="823">
      <formula>LEN(TRIM(AD14))=0</formula>
    </cfRule>
    <cfRule type="containsBlanks" priority="824">
      <formula>LEN(TRIM(AD14))=0</formula>
    </cfRule>
  </conditionalFormatting>
  <conditionalFormatting sqref="AD12">
    <cfRule type="containsBlanks" dxfId="383" priority="821">
      <formula>LEN(TRIM(AD12))=0</formula>
    </cfRule>
    <cfRule type="containsBlanks" priority="822">
      <formula>LEN(TRIM(AD12))=0</formula>
    </cfRule>
  </conditionalFormatting>
  <conditionalFormatting sqref="AD13">
    <cfRule type="containsBlanks" dxfId="382" priority="819">
      <formula>LEN(TRIM(AD13))=0</formula>
    </cfRule>
    <cfRule type="containsBlanks" priority="820">
      <formula>LEN(TRIM(AD13))=0</formula>
    </cfRule>
  </conditionalFormatting>
  <conditionalFormatting sqref="AD18">
    <cfRule type="containsBlanks" dxfId="381" priority="817">
      <formula>LEN(TRIM(AD18))=0</formula>
    </cfRule>
    <cfRule type="containsBlanks" priority="818">
      <formula>LEN(TRIM(AD18))=0</formula>
    </cfRule>
  </conditionalFormatting>
  <conditionalFormatting sqref="AD18">
    <cfRule type="containsBlanks" dxfId="380" priority="815">
      <formula>LEN(TRIM(AD18))=0</formula>
    </cfRule>
    <cfRule type="containsBlanks" priority="816">
      <formula>LEN(TRIM(AD18))=0</formula>
    </cfRule>
  </conditionalFormatting>
  <conditionalFormatting sqref="AD18">
    <cfRule type="containsBlanks" dxfId="379" priority="813">
      <formula>LEN(TRIM(AD18))=0</formula>
    </cfRule>
    <cfRule type="containsBlanks" priority="814">
      <formula>LEN(TRIM(AD18))=0</formula>
    </cfRule>
  </conditionalFormatting>
  <conditionalFormatting sqref="AD18">
    <cfRule type="containsBlanks" dxfId="378" priority="811">
      <formula>LEN(TRIM(AD18))=0</formula>
    </cfRule>
    <cfRule type="containsBlanks" priority="812">
      <formula>LEN(TRIM(AD18))=0</formula>
    </cfRule>
  </conditionalFormatting>
  <conditionalFormatting sqref="AD16">
    <cfRule type="containsBlanks" dxfId="377" priority="809">
      <formula>LEN(TRIM(AD16))=0</formula>
    </cfRule>
    <cfRule type="containsBlanks" priority="810">
      <formula>LEN(TRIM(AD16))=0</formula>
    </cfRule>
  </conditionalFormatting>
  <conditionalFormatting sqref="AD17">
    <cfRule type="containsBlanks" dxfId="376" priority="807">
      <formula>LEN(TRIM(AD17))=0</formula>
    </cfRule>
    <cfRule type="containsBlanks" priority="808">
      <formula>LEN(TRIM(AD17))=0</formula>
    </cfRule>
  </conditionalFormatting>
  <conditionalFormatting sqref="AE6">
    <cfRule type="containsBlanks" dxfId="375" priority="805">
      <formula>LEN(TRIM(AE6))=0</formula>
    </cfRule>
    <cfRule type="containsBlanks" priority="806">
      <formula>LEN(TRIM(AE6))=0</formula>
    </cfRule>
  </conditionalFormatting>
  <conditionalFormatting sqref="AE6">
    <cfRule type="containsBlanks" dxfId="374" priority="803">
      <formula>LEN(TRIM(AE6))=0</formula>
    </cfRule>
    <cfRule type="containsBlanks" priority="804">
      <formula>LEN(TRIM(AE6))=0</formula>
    </cfRule>
  </conditionalFormatting>
  <conditionalFormatting sqref="AE6">
    <cfRule type="containsBlanks" dxfId="373" priority="801">
      <formula>LEN(TRIM(AE6))=0</formula>
    </cfRule>
    <cfRule type="containsBlanks" priority="802">
      <formula>LEN(TRIM(AE6))=0</formula>
    </cfRule>
  </conditionalFormatting>
  <conditionalFormatting sqref="AE6">
    <cfRule type="containsBlanks" dxfId="372" priority="799">
      <formula>LEN(TRIM(AE6))=0</formula>
    </cfRule>
    <cfRule type="containsBlanks" priority="800">
      <formula>LEN(TRIM(AE6))=0</formula>
    </cfRule>
  </conditionalFormatting>
  <conditionalFormatting sqref="AE4">
    <cfRule type="containsBlanks" dxfId="371" priority="797">
      <formula>LEN(TRIM(AE4))=0</formula>
    </cfRule>
    <cfRule type="containsBlanks" priority="798">
      <formula>LEN(TRIM(AE4))=0</formula>
    </cfRule>
  </conditionalFormatting>
  <conditionalFormatting sqref="AE5">
    <cfRule type="containsBlanks" dxfId="370" priority="795">
      <formula>LEN(TRIM(AE5))=0</formula>
    </cfRule>
    <cfRule type="containsBlanks" priority="796">
      <formula>LEN(TRIM(AE5))=0</formula>
    </cfRule>
  </conditionalFormatting>
  <conditionalFormatting sqref="AE18">
    <cfRule type="containsBlanks" dxfId="369" priority="769">
      <formula>LEN(TRIM(AE18))=0</formula>
    </cfRule>
    <cfRule type="containsBlanks" priority="770">
      <formula>LEN(TRIM(AE18))=0</formula>
    </cfRule>
  </conditionalFormatting>
  <conditionalFormatting sqref="AE18">
    <cfRule type="containsBlanks" dxfId="368" priority="767">
      <formula>LEN(TRIM(AE18))=0</formula>
    </cfRule>
    <cfRule type="containsBlanks" priority="768">
      <formula>LEN(TRIM(AE18))=0</formula>
    </cfRule>
  </conditionalFormatting>
  <conditionalFormatting sqref="AE18">
    <cfRule type="containsBlanks" dxfId="367" priority="765">
      <formula>LEN(TRIM(AE18))=0</formula>
    </cfRule>
    <cfRule type="containsBlanks" priority="766">
      <formula>LEN(TRIM(AE18))=0</formula>
    </cfRule>
  </conditionalFormatting>
  <conditionalFormatting sqref="AE18">
    <cfRule type="containsBlanks" dxfId="366" priority="763">
      <formula>LEN(TRIM(AE18))=0</formula>
    </cfRule>
    <cfRule type="containsBlanks" priority="764">
      <formula>LEN(TRIM(AE18))=0</formula>
    </cfRule>
  </conditionalFormatting>
  <conditionalFormatting sqref="AE16">
    <cfRule type="containsBlanks" dxfId="365" priority="761">
      <formula>LEN(TRIM(AE16))=0</formula>
    </cfRule>
    <cfRule type="containsBlanks" priority="762">
      <formula>LEN(TRIM(AE16))=0</formula>
    </cfRule>
  </conditionalFormatting>
  <conditionalFormatting sqref="AE17">
    <cfRule type="containsBlanks" dxfId="364" priority="759">
      <formula>LEN(TRIM(AE17))=0</formula>
    </cfRule>
    <cfRule type="containsBlanks" priority="760">
      <formula>LEN(TRIM(AE17))=0</formula>
    </cfRule>
  </conditionalFormatting>
  <conditionalFormatting sqref="AF6">
    <cfRule type="containsBlanks" dxfId="363" priority="757">
      <formula>LEN(TRIM(AF6))=0</formula>
    </cfRule>
    <cfRule type="containsBlanks" priority="758">
      <formula>LEN(TRIM(AF6))=0</formula>
    </cfRule>
  </conditionalFormatting>
  <conditionalFormatting sqref="AF6">
    <cfRule type="containsBlanks" dxfId="362" priority="755">
      <formula>LEN(TRIM(AF6))=0</formula>
    </cfRule>
    <cfRule type="containsBlanks" priority="756">
      <formula>LEN(TRIM(AF6))=0</formula>
    </cfRule>
  </conditionalFormatting>
  <conditionalFormatting sqref="AF6">
    <cfRule type="containsBlanks" dxfId="361" priority="753">
      <formula>LEN(TRIM(AF6))=0</formula>
    </cfRule>
    <cfRule type="containsBlanks" priority="754">
      <formula>LEN(TRIM(AF6))=0</formula>
    </cfRule>
  </conditionalFormatting>
  <conditionalFormatting sqref="AF6">
    <cfRule type="containsBlanks" dxfId="360" priority="751">
      <formula>LEN(TRIM(AF6))=0</formula>
    </cfRule>
    <cfRule type="containsBlanks" priority="752">
      <formula>LEN(TRIM(AF6))=0</formula>
    </cfRule>
  </conditionalFormatting>
  <conditionalFormatting sqref="AF4">
    <cfRule type="containsBlanks" dxfId="359" priority="749">
      <formula>LEN(TRIM(AF4))=0</formula>
    </cfRule>
    <cfRule type="containsBlanks" priority="750">
      <formula>LEN(TRIM(AF4))=0</formula>
    </cfRule>
  </conditionalFormatting>
  <conditionalFormatting sqref="AF5">
    <cfRule type="containsBlanks" dxfId="358" priority="747">
      <formula>LEN(TRIM(AF5))=0</formula>
    </cfRule>
    <cfRule type="containsBlanks" priority="748">
      <formula>LEN(TRIM(AF5))=0</formula>
    </cfRule>
  </conditionalFormatting>
  <conditionalFormatting sqref="AE10">
    <cfRule type="containsBlanks" dxfId="357" priority="745">
      <formula>LEN(TRIM(AE10))=0</formula>
    </cfRule>
    <cfRule type="containsBlanks" priority="746">
      <formula>LEN(TRIM(AE10))=0</formula>
    </cfRule>
  </conditionalFormatting>
  <conditionalFormatting sqref="AE10">
    <cfRule type="containsBlanks" dxfId="356" priority="743">
      <formula>LEN(TRIM(AE10))=0</formula>
    </cfRule>
    <cfRule type="containsBlanks" priority="744">
      <formula>LEN(TRIM(AE10))=0</formula>
    </cfRule>
  </conditionalFormatting>
  <conditionalFormatting sqref="AE10">
    <cfRule type="containsBlanks" dxfId="355" priority="741">
      <formula>LEN(TRIM(AE10))=0</formula>
    </cfRule>
    <cfRule type="containsBlanks" priority="742">
      <formula>LEN(TRIM(AE10))=0</formula>
    </cfRule>
  </conditionalFormatting>
  <conditionalFormatting sqref="AE10">
    <cfRule type="containsBlanks" dxfId="354" priority="739">
      <formula>LEN(TRIM(AE10))=0</formula>
    </cfRule>
    <cfRule type="containsBlanks" priority="740">
      <formula>LEN(TRIM(AE10))=0</formula>
    </cfRule>
  </conditionalFormatting>
  <conditionalFormatting sqref="AE8">
    <cfRule type="containsBlanks" dxfId="353" priority="737">
      <formula>LEN(TRIM(AE8))=0</formula>
    </cfRule>
    <cfRule type="containsBlanks" priority="738">
      <formula>LEN(TRIM(AE8))=0</formula>
    </cfRule>
  </conditionalFormatting>
  <conditionalFormatting sqref="AE9">
    <cfRule type="containsBlanks" dxfId="352" priority="735">
      <formula>LEN(TRIM(AE9))=0</formula>
    </cfRule>
    <cfRule type="containsBlanks" priority="736">
      <formula>LEN(TRIM(AE9))=0</formula>
    </cfRule>
  </conditionalFormatting>
  <conditionalFormatting sqref="AD10">
    <cfRule type="containsBlanks" dxfId="351" priority="733">
      <formula>LEN(TRIM(AD10))=0</formula>
    </cfRule>
    <cfRule type="containsBlanks" priority="734">
      <formula>LEN(TRIM(AD10))=0</formula>
    </cfRule>
  </conditionalFormatting>
  <conditionalFormatting sqref="AD10">
    <cfRule type="containsBlanks" dxfId="350" priority="731">
      <formula>LEN(TRIM(AD10))=0</formula>
    </cfRule>
    <cfRule type="containsBlanks" priority="732">
      <formula>LEN(TRIM(AD10))=0</formula>
    </cfRule>
  </conditionalFormatting>
  <conditionalFormatting sqref="AD10">
    <cfRule type="containsBlanks" dxfId="349" priority="729">
      <formula>LEN(TRIM(AD10))=0</formula>
    </cfRule>
    <cfRule type="containsBlanks" priority="730">
      <formula>LEN(TRIM(AD10))=0</formula>
    </cfRule>
  </conditionalFormatting>
  <conditionalFormatting sqref="AD10">
    <cfRule type="containsBlanks" dxfId="348" priority="727">
      <formula>LEN(TRIM(AD10))=0</formula>
    </cfRule>
    <cfRule type="containsBlanks" priority="728">
      <formula>LEN(TRIM(AD10))=0</formula>
    </cfRule>
  </conditionalFormatting>
  <conditionalFormatting sqref="AD8">
    <cfRule type="containsBlanks" dxfId="347" priority="725">
      <formula>LEN(TRIM(AD8))=0</formula>
    </cfRule>
    <cfRule type="containsBlanks" priority="726">
      <formula>LEN(TRIM(AD8))=0</formula>
    </cfRule>
  </conditionalFormatting>
  <conditionalFormatting sqref="AD9">
    <cfRule type="containsBlanks" dxfId="346" priority="723">
      <formula>LEN(TRIM(AD9))=0</formula>
    </cfRule>
    <cfRule type="containsBlanks" priority="724">
      <formula>LEN(TRIM(AD9))=0</formula>
    </cfRule>
  </conditionalFormatting>
  <conditionalFormatting sqref="AC10">
    <cfRule type="containsBlanks" dxfId="345" priority="721">
      <formula>LEN(TRIM(AC10))=0</formula>
    </cfRule>
    <cfRule type="containsBlanks" priority="722">
      <formula>LEN(TRIM(AC10))=0</formula>
    </cfRule>
  </conditionalFormatting>
  <conditionalFormatting sqref="AC10">
    <cfRule type="containsBlanks" dxfId="344" priority="719">
      <formula>LEN(TRIM(AC10))=0</formula>
    </cfRule>
    <cfRule type="containsBlanks" priority="720">
      <formula>LEN(TRIM(AC10))=0</formula>
    </cfRule>
  </conditionalFormatting>
  <conditionalFormatting sqref="AC10">
    <cfRule type="containsBlanks" dxfId="343" priority="717">
      <formula>LEN(TRIM(AC10))=0</formula>
    </cfRule>
    <cfRule type="containsBlanks" priority="718">
      <formula>LEN(TRIM(AC10))=0</formula>
    </cfRule>
  </conditionalFormatting>
  <conditionalFormatting sqref="AC10">
    <cfRule type="containsBlanks" dxfId="342" priority="715">
      <formula>LEN(TRIM(AC10))=0</formula>
    </cfRule>
    <cfRule type="containsBlanks" priority="716">
      <formula>LEN(TRIM(AC10))=0</formula>
    </cfRule>
  </conditionalFormatting>
  <conditionalFormatting sqref="AC8">
    <cfRule type="containsBlanks" dxfId="341" priority="713">
      <formula>LEN(TRIM(AC8))=0</formula>
    </cfRule>
    <cfRule type="containsBlanks" priority="714">
      <formula>LEN(TRIM(AC8))=0</formula>
    </cfRule>
  </conditionalFormatting>
  <conditionalFormatting sqref="AC9">
    <cfRule type="containsBlanks" dxfId="340" priority="711">
      <formula>LEN(TRIM(AC9))=0</formula>
    </cfRule>
    <cfRule type="containsBlanks" priority="712">
      <formula>LEN(TRIM(AC9))=0</formula>
    </cfRule>
  </conditionalFormatting>
  <conditionalFormatting sqref="AE14">
    <cfRule type="containsBlanks" dxfId="339" priority="697">
      <formula>LEN(TRIM(AE14))=0</formula>
    </cfRule>
    <cfRule type="containsBlanks" priority="698">
      <formula>LEN(TRIM(AE14))=0</formula>
    </cfRule>
  </conditionalFormatting>
  <conditionalFormatting sqref="AE14">
    <cfRule type="containsBlanks" dxfId="338" priority="695">
      <formula>LEN(TRIM(AE14))=0</formula>
    </cfRule>
    <cfRule type="containsBlanks" priority="696">
      <formula>LEN(TRIM(AE14))=0</formula>
    </cfRule>
  </conditionalFormatting>
  <conditionalFormatting sqref="AE14">
    <cfRule type="containsBlanks" dxfId="337" priority="693">
      <formula>LEN(TRIM(AE14))=0</formula>
    </cfRule>
    <cfRule type="containsBlanks" priority="694">
      <formula>LEN(TRIM(AE14))=0</formula>
    </cfRule>
  </conditionalFormatting>
  <conditionalFormatting sqref="AE14">
    <cfRule type="containsBlanks" dxfId="336" priority="691">
      <formula>LEN(TRIM(AE14))=0</formula>
    </cfRule>
    <cfRule type="containsBlanks" priority="692">
      <formula>LEN(TRIM(AE14))=0</formula>
    </cfRule>
  </conditionalFormatting>
  <conditionalFormatting sqref="AE12">
    <cfRule type="containsBlanks" dxfId="335" priority="689">
      <formula>LEN(TRIM(AE12))=0</formula>
    </cfRule>
    <cfRule type="containsBlanks" priority="690">
      <formula>LEN(TRIM(AE12))=0</formula>
    </cfRule>
  </conditionalFormatting>
  <conditionalFormatting sqref="AE13">
    <cfRule type="containsBlanks" dxfId="334" priority="687">
      <formula>LEN(TRIM(AE13))=0</formula>
    </cfRule>
    <cfRule type="containsBlanks" priority="688">
      <formula>LEN(TRIM(AE13))=0</formula>
    </cfRule>
  </conditionalFormatting>
  <conditionalFormatting sqref="AF14">
    <cfRule type="containsBlanks" dxfId="333" priority="685">
      <formula>LEN(TRIM(AF14))=0</formula>
    </cfRule>
    <cfRule type="containsBlanks" priority="686">
      <formula>LEN(TRIM(AF14))=0</formula>
    </cfRule>
  </conditionalFormatting>
  <conditionalFormatting sqref="AF14">
    <cfRule type="containsBlanks" dxfId="332" priority="683">
      <formula>LEN(TRIM(AF14))=0</formula>
    </cfRule>
    <cfRule type="containsBlanks" priority="684">
      <formula>LEN(TRIM(AF14))=0</formula>
    </cfRule>
  </conditionalFormatting>
  <conditionalFormatting sqref="AF14">
    <cfRule type="containsBlanks" dxfId="331" priority="681">
      <formula>LEN(TRIM(AF14))=0</formula>
    </cfRule>
    <cfRule type="containsBlanks" priority="682">
      <formula>LEN(TRIM(AF14))=0</formula>
    </cfRule>
  </conditionalFormatting>
  <conditionalFormatting sqref="AF14">
    <cfRule type="containsBlanks" dxfId="330" priority="679">
      <formula>LEN(TRIM(AF14))=0</formula>
    </cfRule>
    <cfRule type="containsBlanks" priority="680">
      <formula>LEN(TRIM(AF14))=0</formula>
    </cfRule>
  </conditionalFormatting>
  <conditionalFormatting sqref="AF12">
    <cfRule type="containsBlanks" dxfId="329" priority="677">
      <formula>LEN(TRIM(AF12))=0</formula>
    </cfRule>
    <cfRule type="containsBlanks" priority="678">
      <formula>LEN(TRIM(AF12))=0</formula>
    </cfRule>
  </conditionalFormatting>
  <conditionalFormatting sqref="AF13">
    <cfRule type="containsBlanks" dxfId="328" priority="675">
      <formula>LEN(TRIM(AF13))=0</formula>
    </cfRule>
    <cfRule type="containsBlanks" priority="676">
      <formula>LEN(TRIM(AF13))=0</formula>
    </cfRule>
  </conditionalFormatting>
  <conditionalFormatting sqref="AF18">
    <cfRule type="containsBlanks" dxfId="327" priority="673">
      <formula>LEN(TRIM(AF18))=0</formula>
    </cfRule>
    <cfRule type="containsBlanks" priority="674">
      <formula>LEN(TRIM(AF18))=0</formula>
    </cfRule>
  </conditionalFormatting>
  <conditionalFormatting sqref="AF18">
    <cfRule type="containsBlanks" dxfId="326" priority="671">
      <formula>LEN(TRIM(AF18))=0</formula>
    </cfRule>
    <cfRule type="containsBlanks" priority="672">
      <formula>LEN(TRIM(AF18))=0</formula>
    </cfRule>
  </conditionalFormatting>
  <conditionalFormatting sqref="AF18">
    <cfRule type="containsBlanks" dxfId="325" priority="669">
      <formula>LEN(TRIM(AF18))=0</formula>
    </cfRule>
    <cfRule type="containsBlanks" priority="670">
      <formula>LEN(TRIM(AF18))=0</formula>
    </cfRule>
  </conditionalFormatting>
  <conditionalFormatting sqref="AF18">
    <cfRule type="containsBlanks" dxfId="324" priority="667">
      <formula>LEN(TRIM(AF18))=0</formula>
    </cfRule>
    <cfRule type="containsBlanks" priority="668">
      <formula>LEN(TRIM(AF18))=0</formula>
    </cfRule>
  </conditionalFormatting>
  <conditionalFormatting sqref="AF16">
    <cfRule type="containsBlanks" dxfId="323" priority="665">
      <formula>LEN(TRIM(AF16))=0</formula>
    </cfRule>
    <cfRule type="containsBlanks" priority="666">
      <formula>LEN(TRIM(AF16))=0</formula>
    </cfRule>
  </conditionalFormatting>
  <conditionalFormatting sqref="AF17">
    <cfRule type="containsBlanks" dxfId="322" priority="663">
      <formula>LEN(TRIM(AF17))=0</formula>
    </cfRule>
    <cfRule type="containsBlanks" priority="664">
      <formula>LEN(TRIM(AF17))=0</formula>
    </cfRule>
  </conditionalFormatting>
  <conditionalFormatting sqref="AG6">
    <cfRule type="containsBlanks" dxfId="321" priority="661">
      <formula>LEN(TRIM(AG6))=0</formula>
    </cfRule>
    <cfRule type="containsBlanks" priority="662">
      <formula>LEN(TRIM(AG6))=0</formula>
    </cfRule>
  </conditionalFormatting>
  <conditionalFormatting sqref="AG6">
    <cfRule type="containsBlanks" dxfId="320" priority="659">
      <formula>LEN(TRIM(AG6))=0</formula>
    </cfRule>
    <cfRule type="containsBlanks" priority="660">
      <formula>LEN(TRIM(AG6))=0</formula>
    </cfRule>
  </conditionalFormatting>
  <conditionalFormatting sqref="AG6">
    <cfRule type="containsBlanks" dxfId="319" priority="657">
      <formula>LEN(TRIM(AG6))=0</formula>
    </cfRule>
    <cfRule type="containsBlanks" priority="658">
      <formula>LEN(TRIM(AG6))=0</formula>
    </cfRule>
  </conditionalFormatting>
  <conditionalFormatting sqref="AG6">
    <cfRule type="containsBlanks" dxfId="318" priority="655">
      <formula>LEN(TRIM(AG6))=0</formula>
    </cfRule>
    <cfRule type="containsBlanks" priority="656">
      <formula>LEN(TRIM(AG6))=0</formula>
    </cfRule>
  </conditionalFormatting>
  <conditionalFormatting sqref="AG4">
    <cfRule type="containsBlanks" dxfId="317" priority="653">
      <formula>LEN(TRIM(AG4))=0</formula>
    </cfRule>
    <cfRule type="containsBlanks" priority="654">
      <formula>LEN(TRIM(AG4))=0</formula>
    </cfRule>
  </conditionalFormatting>
  <conditionalFormatting sqref="AG5">
    <cfRule type="containsBlanks" dxfId="316" priority="651">
      <formula>LEN(TRIM(AG5))=0</formula>
    </cfRule>
    <cfRule type="containsBlanks" priority="652">
      <formula>LEN(TRIM(AG5))=0</formula>
    </cfRule>
  </conditionalFormatting>
  <conditionalFormatting sqref="AF10">
    <cfRule type="containsBlanks" dxfId="315" priority="649">
      <formula>LEN(TRIM(AF10))=0</formula>
    </cfRule>
    <cfRule type="containsBlanks" priority="650">
      <formula>LEN(TRIM(AF10))=0</formula>
    </cfRule>
  </conditionalFormatting>
  <conditionalFormatting sqref="AF10">
    <cfRule type="containsBlanks" dxfId="314" priority="647">
      <formula>LEN(TRIM(AF10))=0</formula>
    </cfRule>
    <cfRule type="containsBlanks" priority="648">
      <formula>LEN(TRIM(AF10))=0</formula>
    </cfRule>
  </conditionalFormatting>
  <conditionalFormatting sqref="AF10">
    <cfRule type="containsBlanks" dxfId="313" priority="645">
      <formula>LEN(TRIM(AF10))=0</formula>
    </cfRule>
    <cfRule type="containsBlanks" priority="646">
      <formula>LEN(TRIM(AF10))=0</formula>
    </cfRule>
  </conditionalFormatting>
  <conditionalFormatting sqref="AF10">
    <cfRule type="containsBlanks" dxfId="312" priority="643">
      <formula>LEN(TRIM(AF10))=0</formula>
    </cfRule>
    <cfRule type="containsBlanks" priority="644">
      <formula>LEN(TRIM(AF10))=0</formula>
    </cfRule>
  </conditionalFormatting>
  <conditionalFormatting sqref="AF8">
    <cfRule type="containsBlanks" dxfId="311" priority="641">
      <formula>LEN(TRIM(AF8))=0</formula>
    </cfRule>
    <cfRule type="containsBlanks" priority="642">
      <formula>LEN(TRIM(AF8))=0</formula>
    </cfRule>
  </conditionalFormatting>
  <conditionalFormatting sqref="AF9">
    <cfRule type="containsBlanks" dxfId="310" priority="639">
      <formula>LEN(TRIM(AF9))=0</formula>
    </cfRule>
    <cfRule type="containsBlanks" priority="640">
      <formula>LEN(TRIM(AF9))=0</formula>
    </cfRule>
  </conditionalFormatting>
  <conditionalFormatting sqref="AG14">
    <cfRule type="containsBlanks" dxfId="309" priority="637">
      <formula>LEN(TRIM(AG14))=0</formula>
    </cfRule>
    <cfRule type="containsBlanks" priority="638">
      <formula>LEN(TRIM(AG14))=0</formula>
    </cfRule>
  </conditionalFormatting>
  <conditionalFormatting sqref="AG14">
    <cfRule type="containsBlanks" dxfId="308" priority="635">
      <formula>LEN(TRIM(AG14))=0</formula>
    </cfRule>
    <cfRule type="containsBlanks" priority="636">
      <formula>LEN(TRIM(AG14))=0</formula>
    </cfRule>
  </conditionalFormatting>
  <conditionalFormatting sqref="AG14">
    <cfRule type="containsBlanks" dxfId="307" priority="633">
      <formula>LEN(TRIM(AG14))=0</formula>
    </cfRule>
    <cfRule type="containsBlanks" priority="634">
      <formula>LEN(TRIM(AG14))=0</formula>
    </cfRule>
  </conditionalFormatting>
  <conditionalFormatting sqref="AG14">
    <cfRule type="containsBlanks" dxfId="306" priority="631">
      <formula>LEN(TRIM(AG14))=0</formula>
    </cfRule>
    <cfRule type="containsBlanks" priority="632">
      <formula>LEN(TRIM(AG14))=0</formula>
    </cfRule>
  </conditionalFormatting>
  <conditionalFormatting sqref="AG12">
    <cfRule type="containsBlanks" dxfId="305" priority="629">
      <formula>LEN(TRIM(AG12))=0</formula>
    </cfRule>
    <cfRule type="containsBlanks" priority="630">
      <formula>LEN(TRIM(AG12))=0</formula>
    </cfRule>
  </conditionalFormatting>
  <conditionalFormatting sqref="AG13">
    <cfRule type="containsBlanks" dxfId="304" priority="627">
      <formula>LEN(TRIM(AG13))=0</formula>
    </cfRule>
    <cfRule type="containsBlanks" priority="628">
      <formula>LEN(TRIM(AG13))=0</formula>
    </cfRule>
  </conditionalFormatting>
  <conditionalFormatting sqref="AG18">
    <cfRule type="containsBlanks" dxfId="303" priority="625">
      <formula>LEN(TRIM(AG18))=0</formula>
    </cfRule>
    <cfRule type="containsBlanks" priority="626">
      <formula>LEN(TRIM(AG18))=0</formula>
    </cfRule>
  </conditionalFormatting>
  <conditionalFormatting sqref="AG18">
    <cfRule type="containsBlanks" dxfId="302" priority="623">
      <formula>LEN(TRIM(AG18))=0</formula>
    </cfRule>
    <cfRule type="containsBlanks" priority="624">
      <formula>LEN(TRIM(AG18))=0</formula>
    </cfRule>
  </conditionalFormatting>
  <conditionalFormatting sqref="AG18">
    <cfRule type="containsBlanks" dxfId="301" priority="621">
      <formula>LEN(TRIM(AG18))=0</formula>
    </cfRule>
    <cfRule type="containsBlanks" priority="622">
      <formula>LEN(TRIM(AG18))=0</formula>
    </cfRule>
  </conditionalFormatting>
  <conditionalFormatting sqref="AG18">
    <cfRule type="containsBlanks" dxfId="300" priority="619">
      <formula>LEN(TRIM(AG18))=0</formula>
    </cfRule>
    <cfRule type="containsBlanks" priority="620">
      <formula>LEN(TRIM(AG18))=0</formula>
    </cfRule>
  </conditionalFormatting>
  <conditionalFormatting sqref="AG16">
    <cfRule type="containsBlanks" dxfId="299" priority="617">
      <formula>LEN(TRIM(AG16))=0</formula>
    </cfRule>
    <cfRule type="containsBlanks" priority="618">
      <formula>LEN(TRIM(AG16))=0</formula>
    </cfRule>
  </conditionalFormatting>
  <conditionalFormatting sqref="AG17">
    <cfRule type="containsBlanks" dxfId="298" priority="615">
      <formula>LEN(TRIM(AG17))=0</formula>
    </cfRule>
    <cfRule type="containsBlanks" priority="616">
      <formula>LEN(TRIM(AG17))=0</formula>
    </cfRule>
  </conditionalFormatting>
  <conditionalFormatting sqref="AH6">
    <cfRule type="containsBlanks" dxfId="297" priority="613">
      <formula>LEN(TRIM(AH6))=0</formula>
    </cfRule>
    <cfRule type="containsBlanks" priority="614">
      <formula>LEN(TRIM(AH6))=0</formula>
    </cfRule>
  </conditionalFormatting>
  <conditionalFormatting sqref="AH6">
    <cfRule type="containsBlanks" dxfId="296" priority="611">
      <formula>LEN(TRIM(AH6))=0</formula>
    </cfRule>
    <cfRule type="containsBlanks" priority="612">
      <formula>LEN(TRIM(AH6))=0</formula>
    </cfRule>
  </conditionalFormatting>
  <conditionalFormatting sqref="AH6">
    <cfRule type="containsBlanks" dxfId="295" priority="609">
      <formula>LEN(TRIM(AH6))=0</formula>
    </cfRule>
    <cfRule type="containsBlanks" priority="610">
      <formula>LEN(TRIM(AH6))=0</formula>
    </cfRule>
  </conditionalFormatting>
  <conditionalFormatting sqref="AH6">
    <cfRule type="containsBlanks" dxfId="294" priority="607">
      <formula>LEN(TRIM(AH6))=0</formula>
    </cfRule>
    <cfRule type="containsBlanks" priority="608">
      <formula>LEN(TRIM(AH6))=0</formula>
    </cfRule>
  </conditionalFormatting>
  <conditionalFormatting sqref="AH4">
    <cfRule type="containsBlanks" dxfId="293" priority="605">
      <formula>LEN(TRIM(AH4))=0</formula>
    </cfRule>
    <cfRule type="containsBlanks" priority="606">
      <formula>LEN(TRIM(AH4))=0</formula>
    </cfRule>
  </conditionalFormatting>
  <conditionalFormatting sqref="AH5">
    <cfRule type="containsBlanks" dxfId="292" priority="603">
      <formula>LEN(TRIM(AH5))=0</formula>
    </cfRule>
    <cfRule type="containsBlanks" priority="604">
      <formula>LEN(TRIM(AH5))=0</formula>
    </cfRule>
  </conditionalFormatting>
  <conditionalFormatting sqref="AG10:AI10">
    <cfRule type="containsBlanks" dxfId="291" priority="601">
      <formula>LEN(TRIM(AG10))=0</formula>
    </cfRule>
    <cfRule type="containsBlanks" priority="602">
      <formula>LEN(TRIM(AG10))=0</formula>
    </cfRule>
  </conditionalFormatting>
  <conditionalFormatting sqref="AG10:AI10">
    <cfRule type="containsBlanks" dxfId="290" priority="599">
      <formula>LEN(TRIM(AG10))=0</formula>
    </cfRule>
    <cfRule type="containsBlanks" priority="600">
      <formula>LEN(TRIM(AG10))=0</formula>
    </cfRule>
  </conditionalFormatting>
  <conditionalFormatting sqref="AG10:AI10">
    <cfRule type="containsBlanks" dxfId="289" priority="597">
      <formula>LEN(TRIM(AG10))=0</formula>
    </cfRule>
    <cfRule type="containsBlanks" priority="598">
      <formula>LEN(TRIM(AG10))=0</formula>
    </cfRule>
  </conditionalFormatting>
  <conditionalFormatting sqref="AG10:AI10">
    <cfRule type="containsBlanks" dxfId="288" priority="595">
      <formula>LEN(TRIM(AG10))=0</formula>
    </cfRule>
    <cfRule type="containsBlanks" priority="596">
      <formula>LEN(TRIM(AG10))=0</formula>
    </cfRule>
  </conditionalFormatting>
  <conditionalFormatting sqref="AG8:AI8">
    <cfRule type="containsBlanks" dxfId="287" priority="593">
      <formula>LEN(TRIM(AG8))=0</formula>
    </cfRule>
    <cfRule type="containsBlanks" priority="594">
      <formula>LEN(TRIM(AG8))=0</formula>
    </cfRule>
  </conditionalFormatting>
  <conditionalFormatting sqref="AG9:AI9">
    <cfRule type="containsBlanks" dxfId="286" priority="591">
      <formula>LEN(TRIM(AG9))=0</formula>
    </cfRule>
    <cfRule type="containsBlanks" priority="592">
      <formula>LEN(TRIM(AG9))=0</formula>
    </cfRule>
  </conditionalFormatting>
  <conditionalFormatting sqref="AH14">
    <cfRule type="containsBlanks" dxfId="285" priority="589">
      <formula>LEN(TRIM(AH14))=0</formula>
    </cfRule>
    <cfRule type="containsBlanks" priority="590">
      <formula>LEN(TRIM(AH14))=0</formula>
    </cfRule>
  </conditionalFormatting>
  <conditionalFormatting sqref="AH14">
    <cfRule type="containsBlanks" dxfId="284" priority="587">
      <formula>LEN(TRIM(AH14))=0</formula>
    </cfRule>
    <cfRule type="containsBlanks" priority="588">
      <formula>LEN(TRIM(AH14))=0</formula>
    </cfRule>
  </conditionalFormatting>
  <conditionalFormatting sqref="AH14">
    <cfRule type="containsBlanks" dxfId="283" priority="585">
      <formula>LEN(TRIM(AH14))=0</formula>
    </cfRule>
    <cfRule type="containsBlanks" priority="586">
      <formula>LEN(TRIM(AH14))=0</formula>
    </cfRule>
  </conditionalFormatting>
  <conditionalFormatting sqref="AH14">
    <cfRule type="containsBlanks" dxfId="282" priority="583">
      <formula>LEN(TRIM(AH14))=0</formula>
    </cfRule>
    <cfRule type="containsBlanks" priority="584">
      <formula>LEN(TRIM(AH14))=0</formula>
    </cfRule>
  </conditionalFormatting>
  <conditionalFormatting sqref="AH12">
    <cfRule type="containsBlanks" dxfId="281" priority="581">
      <formula>LEN(TRIM(AH12))=0</formula>
    </cfRule>
    <cfRule type="containsBlanks" priority="582">
      <formula>LEN(TRIM(AH12))=0</formula>
    </cfRule>
  </conditionalFormatting>
  <conditionalFormatting sqref="AH13">
    <cfRule type="containsBlanks" dxfId="280" priority="579">
      <formula>LEN(TRIM(AH13))=0</formula>
    </cfRule>
    <cfRule type="containsBlanks" priority="580">
      <formula>LEN(TRIM(AH13))=0</formula>
    </cfRule>
  </conditionalFormatting>
  <conditionalFormatting sqref="AH18">
    <cfRule type="containsBlanks" dxfId="279" priority="577">
      <formula>LEN(TRIM(AH18))=0</formula>
    </cfRule>
    <cfRule type="containsBlanks" priority="578">
      <formula>LEN(TRIM(AH18))=0</formula>
    </cfRule>
  </conditionalFormatting>
  <conditionalFormatting sqref="AH18">
    <cfRule type="containsBlanks" dxfId="278" priority="575">
      <formula>LEN(TRIM(AH18))=0</formula>
    </cfRule>
    <cfRule type="containsBlanks" priority="576">
      <formula>LEN(TRIM(AH18))=0</formula>
    </cfRule>
  </conditionalFormatting>
  <conditionalFormatting sqref="AH18">
    <cfRule type="containsBlanks" dxfId="277" priority="573">
      <formula>LEN(TRIM(AH18))=0</formula>
    </cfRule>
    <cfRule type="containsBlanks" priority="574">
      <formula>LEN(TRIM(AH18))=0</formula>
    </cfRule>
  </conditionalFormatting>
  <conditionalFormatting sqref="AH18">
    <cfRule type="containsBlanks" dxfId="276" priority="571">
      <formula>LEN(TRIM(AH18))=0</formula>
    </cfRule>
    <cfRule type="containsBlanks" priority="572">
      <formula>LEN(TRIM(AH18))=0</formula>
    </cfRule>
  </conditionalFormatting>
  <conditionalFormatting sqref="AH16">
    <cfRule type="containsBlanks" dxfId="275" priority="569">
      <formula>LEN(TRIM(AH16))=0</formula>
    </cfRule>
    <cfRule type="containsBlanks" priority="570">
      <formula>LEN(TRIM(AH16))=0</formula>
    </cfRule>
  </conditionalFormatting>
  <conditionalFormatting sqref="AH17">
    <cfRule type="containsBlanks" dxfId="274" priority="567">
      <formula>LEN(TRIM(AH17))=0</formula>
    </cfRule>
    <cfRule type="containsBlanks" priority="568">
      <formula>LEN(TRIM(AH17))=0</formula>
    </cfRule>
  </conditionalFormatting>
  <conditionalFormatting sqref="AI6">
    <cfRule type="containsBlanks" dxfId="273" priority="565">
      <formula>LEN(TRIM(AI6))=0</formula>
    </cfRule>
    <cfRule type="containsBlanks" priority="566">
      <formula>LEN(TRIM(AI6))=0</formula>
    </cfRule>
  </conditionalFormatting>
  <conditionalFormatting sqref="AI6">
    <cfRule type="containsBlanks" dxfId="272" priority="563">
      <formula>LEN(TRIM(AI6))=0</formula>
    </cfRule>
    <cfRule type="containsBlanks" priority="564">
      <formula>LEN(TRIM(AI6))=0</formula>
    </cfRule>
  </conditionalFormatting>
  <conditionalFormatting sqref="AI6">
    <cfRule type="containsBlanks" dxfId="271" priority="561">
      <formula>LEN(TRIM(AI6))=0</formula>
    </cfRule>
    <cfRule type="containsBlanks" priority="562">
      <formula>LEN(TRIM(AI6))=0</formula>
    </cfRule>
  </conditionalFormatting>
  <conditionalFormatting sqref="AI6">
    <cfRule type="containsBlanks" dxfId="270" priority="559">
      <formula>LEN(TRIM(AI6))=0</formula>
    </cfRule>
    <cfRule type="containsBlanks" priority="560">
      <formula>LEN(TRIM(AI6))=0</formula>
    </cfRule>
  </conditionalFormatting>
  <conditionalFormatting sqref="AI4">
    <cfRule type="containsBlanks" dxfId="269" priority="557">
      <formula>LEN(TRIM(AI4))=0</formula>
    </cfRule>
    <cfRule type="containsBlanks" priority="558">
      <formula>LEN(TRIM(AI4))=0</formula>
    </cfRule>
  </conditionalFormatting>
  <conditionalFormatting sqref="AI5">
    <cfRule type="containsBlanks" dxfId="268" priority="555">
      <formula>LEN(TRIM(AI5))=0</formula>
    </cfRule>
    <cfRule type="containsBlanks" priority="556">
      <formula>LEN(TRIM(AI5))=0</formula>
    </cfRule>
  </conditionalFormatting>
  <conditionalFormatting sqref="AI14">
    <cfRule type="containsBlanks" dxfId="267" priority="553">
      <formula>LEN(TRIM(AI14))=0</formula>
    </cfRule>
    <cfRule type="containsBlanks" priority="554">
      <formula>LEN(TRIM(AI14))=0</formula>
    </cfRule>
  </conditionalFormatting>
  <conditionalFormatting sqref="AI14">
    <cfRule type="containsBlanks" dxfId="266" priority="551">
      <formula>LEN(TRIM(AI14))=0</formula>
    </cfRule>
    <cfRule type="containsBlanks" priority="552">
      <formula>LEN(TRIM(AI14))=0</formula>
    </cfRule>
  </conditionalFormatting>
  <conditionalFormatting sqref="AI14">
    <cfRule type="containsBlanks" dxfId="265" priority="549">
      <formula>LEN(TRIM(AI14))=0</formula>
    </cfRule>
    <cfRule type="containsBlanks" priority="550">
      <formula>LEN(TRIM(AI14))=0</formula>
    </cfRule>
  </conditionalFormatting>
  <conditionalFormatting sqref="AI14">
    <cfRule type="containsBlanks" dxfId="264" priority="547">
      <formula>LEN(TRIM(AI14))=0</formula>
    </cfRule>
    <cfRule type="containsBlanks" priority="548">
      <formula>LEN(TRIM(AI14))=0</formula>
    </cfRule>
  </conditionalFormatting>
  <conditionalFormatting sqref="AI12">
    <cfRule type="containsBlanks" dxfId="263" priority="545">
      <formula>LEN(TRIM(AI12))=0</formula>
    </cfRule>
    <cfRule type="containsBlanks" priority="546">
      <formula>LEN(TRIM(AI12))=0</formula>
    </cfRule>
  </conditionalFormatting>
  <conditionalFormatting sqref="AI13">
    <cfRule type="containsBlanks" dxfId="262" priority="543">
      <formula>LEN(TRIM(AI13))=0</formula>
    </cfRule>
    <cfRule type="containsBlanks" priority="544">
      <formula>LEN(TRIM(AI13))=0</formula>
    </cfRule>
  </conditionalFormatting>
  <conditionalFormatting sqref="AI18">
    <cfRule type="containsBlanks" dxfId="261" priority="541">
      <formula>LEN(TRIM(AI18))=0</formula>
    </cfRule>
    <cfRule type="containsBlanks" priority="542">
      <formula>LEN(TRIM(AI18))=0</formula>
    </cfRule>
  </conditionalFormatting>
  <conditionalFormatting sqref="AI18">
    <cfRule type="containsBlanks" dxfId="260" priority="539">
      <formula>LEN(TRIM(AI18))=0</formula>
    </cfRule>
    <cfRule type="containsBlanks" priority="540">
      <formula>LEN(TRIM(AI18))=0</formula>
    </cfRule>
  </conditionalFormatting>
  <conditionalFormatting sqref="AI18">
    <cfRule type="containsBlanks" dxfId="259" priority="537">
      <formula>LEN(TRIM(AI18))=0</formula>
    </cfRule>
    <cfRule type="containsBlanks" priority="538">
      <formula>LEN(TRIM(AI18))=0</formula>
    </cfRule>
  </conditionalFormatting>
  <conditionalFormatting sqref="AI18">
    <cfRule type="containsBlanks" dxfId="258" priority="535">
      <formula>LEN(TRIM(AI18))=0</formula>
    </cfRule>
    <cfRule type="containsBlanks" priority="536">
      <formula>LEN(TRIM(AI18))=0</formula>
    </cfRule>
  </conditionalFormatting>
  <conditionalFormatting sqref="AI16">
    <cfRule type="containsBlanks" dxfId="257" priority="533">
      <formula>LEN(TRIM(AI16))=0</formula>
    </cfRule>
    <cfRule type="containsBlanks" priority="534">
      <formula>LEN(TRIM(AI16))=0</formula>
    </cfRule>
  </conditionalFormatting>
  <conditionalFormatting sqref="AI17">
    <cfRule type="containsBlanks" dxfId="256" priority="531">
      <formula>LEN(TRIM(AI17))=0</formula>
    </cfRule>
    <cfRule type="containsBlanks" priority="532">
      <formula>LEN(TRIM(AI17))=0</formula>
    </cfRule>
  </conditionalFormatting>
  <conditionalFormatting sqref="AJ6">
    <cfRule type="containsBlanks" dxfId="255" priority="529">
      <formula>LEN(TRIM(AJ6))=0</formula>
    </cfRule>
    <cfRule type="containsBlanks" priority="530">
      <formula>LEN(TRIM(AJ6))=0</formula>
    </cfRule>
  </conditionalFormatting>
  <conditionalFormatting sqref="AJ6">
    <cfRule type="containsBlanks" dxfId="254" priority="527">
      <formula>LEN(TRIM(AJ6))=0</formula>
    </cfRule>
    <cfRule type="containsBlanks" priority="528">
      <formula>LEN(TRIM(AJ6))=0</formula>
    </cfRule>
  </conditionalFormatting>
  <conditionalFormatting sqref="AJ6">
    <cfRule type="containsBlanks" dxfId="253" priority="525">
      <formula>LEN(TRIM(AJ6))=0</formula>
    </cfRule>
    <cfRule type="containsBlanks" priority="526">
      <formula>LEN(TRIM(AJ6))=0</formula>
    </cfRule>
  </conditionalFormatting>
  <conditionalFormatting sqref="AJ6">
    <cfRule type="containsBlanks" dxfId="252" priority="523">
      <formula>LEN(TRIM(AJ6))=0</formula>
    </cfRule>
    <cfRule type="containsBlanks" priority="524">
      <formula>LEN(TRIM(AJ6))=0</formula>
    </cfRule>
  </conditionalFormatting>
  <conditionalFormatting sqref="AJ4">
    <cfRule type="containsBlanks" dxfId="251" priority="521">
      <formula>LEN(TRIM(AJ4))=0</formula>
    </cfRule>
    <cfRule type="containsBlanks" priority="522">
      <formula>LEN(TRIM(AJ4))=0</formula>
    </cfRule>
  </conditionalFormatting>
  <conditionalFormatting sqref="AJ5">
    <cfRule type="containsBlanks" dxfId="250" priority="519">
      <formula>LEN(TRIM(AJ5))=0</formula>
    </cfRule>
    <cfRule type="containsBlanks" priority="520">
      <formula>LEN(TRIM(AJ5))=0</formula>
    </cfRule>
  </conditionalFormatting>
  <conditionalFormatting sqref="AJ14">
    <cfRule type="containsBlanks" dxfId="249" priority="497">
      <formula>LEN(TRIM(AJ14))=0</formula>
    </cfRule>
    <cfRule type="containsBlanks" priority="498">
      <formula>LEN(TRIM(AJ14))=0</formula>
    </cfRule>
  </conditionalFormatting>
  <conditionalFormatting sqref="AJ14">
    <cfRule type="containsBlanks" dxfId="248" priority="495">
      <formula>LEN(TRIM(AJ14))=0</formula>
    </cfRule>
    <cfRule type="containsBlanks" priority="496">
      <formula>LEN(TRIM(AJ14))=0</formula>
    </cfRule>
  </conditionalFormatting>
  <conditionalFormatting sqref="AJ14">
    <cfRule type="containsBlanks" dxfId="247" priority="493">
      <formula>LEN(TRIM(AJ14))=0</formula>
    </cfRule>
    <cfRule type="containsBlanks" priority="494">
      <formula>LEN(TRIM(AJ14))=0</formula>
    </cfRule>
  </conditionalFormatting>
  <conditionalFormatting sqref="AJ14">
    <cfRule type="containsBlanks" dxfId="246" priority="491">
      <formula>LEN(TRIM(AJ14))=0</formula>
    </cfRule>
    <cfRule type="containsBlanks" priority="492">
      <formula>LEN(TRIM(AJ14))=0</formula>
    </cfRule>
  </conditionalFormatting>
  <conditionalFormatting sqref="AJ12">
    <cfRule type="containsBlanks" dxfId="245" priority="489">
      <formula>LEN(TRIM(AJ12))=0</formula>
    </cfRule>
    <cfRule type="containsBlanks" priority="490">
      <formula>LEN(TRIM(AJ12))=0</formula>
    </cfRule>
  </conditionalFormatting>
  <conditionalFormatting sqref="AJ13">
    <cfRule type="containsBlanks" dxfId="244" priority="487">
      <formula>LEN(TRIM(AJ13))=0</formula>
    </cfRule>
    <cfRule type="containsBlanks" priority="488">
      <formula>LEN(TRIM(AJ13))=0</formula>
    </cfRule>
  </conditionalFormatting>
  <conditionalFormatting sqref="AK6">
    <cfRule type="containsBlanks" dxfId="243" priority="461">
      <formula>LEN(TRIM(AK6))=0</formula>
    </cfRule>
    <cfRule type="containsBlanks" priority="462">
      <formula>LEN(TRIM(AK6))=0</formula>
    </cfRule>
  </conditionalFormatting>
  <conditionalFormatting sqref="AK6">
    <cfRule type="containsBlanks" dxfId="242" priority="459">
      <formula>LEN(TRIM(AK6))=0</formula>
    </cfRule>
    <cfRule type="containsBlanks" priority="460">
      <formula>LEN(TRIM(AK6))=0</formula>
    </cfRule>
  </conditionalFormatting>
  <conditionalFormatting sqref="AK6">
    <cfRule type="containsBlanks" dxfId="241" priority="457">
      <formula>LEN(TRIM(AK6))=0</formula>
    </cfRule>
    <cfRule type="containsBlanks" priority="458">
      <formula>LEN(TRIM(AK6))=0</formula>
    </cfRule>
  </conditionalFormatting>
  <conditionalFormatting sqref="AK6">
    <cfRule type="containsBlanks" dxfId="240" priority="455">
      <formula>LEN(TRIM(AK6))=0</formula>
    </cfRule>
    <cfRule type="containsBlanks" priority="456">
      <formula>LEN(TRIM(AK6))=0</formula>
    </cfRule>
  </conditionalFormatting>
  <conditionalFormatting sqref="AJ10">
    <cfRule type="containsBlanks" dxfId="239" priority="453">
      <formula>LEN(TRIM(AJ10))=0</formula>
    </cfRule>
    <cfRule type="containsBlanks" priority="454">
      <formula>LEN(TRIM(AJ10))=0</formula>
    </cfRule>
  </conditionalFormatting>
  <conditionalFormatting sqref="AJ10">
    <cfRule type="containsBlanks" dxfId="238" priority="451">
      <formula>LEN(TRIM(AJ10))=0</formula>
    </cfRule>
    <cfRule type="containsBlanks" priority="452">
      <formula>LEN(TRIM(AJ10))=0</formula>
    </cfRule>
  </conditionalFormatting>
  <conditionalFormatting sqref="AJ10">
    <cfRule type="containsBlanks" dxfId="237" priority="449">
      <formula>LEN(TRIM(AJ10))=0</formula>
    </cfRule>
    <cfRule type="containsBlanks" priority="450">
      <formula>LEN(TRIM(AJ10))=0</formula>
    </cfRule>
  </conditionalFormatting>
  <conditionalFormatting sqref="AJ10">
    <cfRule type="containsBlanks" dxfId="236" priority="447">
      <formula>LEN(TRIM(AJ10))=0</formula>
    </cfRule>
    <cfRule type="containsBlanks" priority="448">
      <formula>LEN(TRIM(AJ10))=0</formula>
    </cfRule>
  </conditionalFormatting>
  <conditionalFormatting sqref="AJ10">
    <cfRule type="containsBlanks" dxfId="235" priority="445">
      <formula>LEN(TRIM(AJ10))=0</formula>
    </cfRule>
    <cfRule type="containsBlanks" priority="446">
      <formula>LEN(TRIM(AJ10))=0</formula>
    </cfRule>
  </conditionalFormatting>
  <conditionalFormatting sqref="AJ10">
    <cfRule type="containsBlanks" dxfId="234" priority="443">
      <formula>LEN(TRIM(AJ10))=0</formula>
    </cfRule>
    <cfRule type="containsBlanks" priority="444">
      <formula>LEN(TRIM(AJ10))=0</formula>
    </cfRule>
  </conditionalFormatting>
  <conditionalFormatting sqref="AJ10">
    <cfRule type="containsBlanks" dxfId="233" priority="441">
      <formula>LEN(TRIM(AJ10))=0</formula>
    </cfRule>
    <cfRule type="containsBlanks" priority="442">
      <formula>LEN(TRIM(AJ10))=0</formula>
    </cfRule>
  </conditionalFormatting>
  <conditionalFormatting sqref="AJ10">
    <cfRule type="containsBlanks" dxfId="232" priority="439">
      <formula>LEN(TRIM(AJ10))=0</formula>
    </cfRule>
    <cfRule type="containsBlanks" priority="440">
      <formula>LEN(TRIM(AJ10))=0</formula>
    </cfRule>
  </conditionalFormatting>
  <conditionalFormatting sqref="AJ8">
    <cfRule type="containsBlanks" dxfId="231" priority="437">
      <formula>LEN(TRIM(AJ8))=0</formula>
    </cfRule>
    <cfRule type="containsBlanks" priority="438">
      <formula>LEN(TRIM(AJ8))=0</formula>
    </cfRule>
  </conditionalFormatting>
  <conditionalFormatting sqref="AJ9">
    <cfRule type="containsBlanks" dxfId="230" priority="435">
      <formula>LEN(TRIM(AJ9))=0</formula>
    </cfRule>
    <cfRule type="containsBlanks" priority="436">
      <formula>LEN(TRIM(AJ9))=0</formula>
    </cfRule>
  </conditionalFormatting>
  <conditionalFormatting sqref="AK14">
    <cfRule type="containsBlanks" dxfId="229" priority="425">
      <formula>LEN(TRIM(AK14))=0</formula>
    </cfRule>
    <cfRule type="containsBlanks" priority="426">
      <formula>LEN(TRIM(AK14))=0</formula>
    </cfRule>
  </conditionalFormatting>
  <conditionalFormatting sqref="AK14">
    <cfRule type="containsBlanks" dxfId="228" priority="423">
      <formula>LEN(TRIM(AK14))=0</formula>
    </cfRule>
    <cfRule type="containsBlanks" priority="424">
      <formula>LEN(TRIM(AK14))=0</formula>
    </cfRule>
  </conditionalFormatting>
  <conditionalFormatting sqref="AK14">
    <cfRule type="containsBlanks" dxfId="227" priority="421">
      <formula>LEN(TRIM(AK14))=0</formula>
    </cfRule>
    <cfRule type="containsBlanks" priority="422">
      <formula>LEN(TRIM(AK14))=0</formula>
    </cfRule>
  </conditionalFormatting>
  <conditionalFormatting sqref="AK14">
    <cfRule type="containsBlanks" dxfId="226" priority="419">
      <formula>LEN(TRIM(AK14))=0</formula>
    </cfRule>
    <cfRule type="containsBlanks" priority="420">
      <formula>LEN(TRIM(AK14))=0</formula>
    </cfRule>
  </conditionalFormatting>
  <conditionalFormatting sqref="AK12">
    <cfRule type="containsBlanks" dxfId="225" priority="417">
      <formula>LEN(TRIM(AK12))=0</formula>
    </cfRule>
    <cfRule type="containsBlanks" priority="418">
      <formula>LEN(TRIM(AK12))=0</formula>
    </cfRule>
  </conditionalFormatting>
  <conditionalFormatting sqref="AK13">
    <cfRule type="containsBlanks" dxfId="224" priority="415">
      <formula>LEN(TRIM(AK13))=0</formula>
    </cfRule>
    <cfRule type="containsBlanks" priority="416">
      <formula>LEN(TRIM(AK13))=0</formula>
    </cfRule>
  </conditionalFormatting>
  <conditionalFormatting sqref="AJ18">
    <cfRule type="containsBlanks" dxfId="223" priority="413">
      <formula>LEN(TRIM(AJ18))=0</formula>
    </cfRule>
    <cfRule type="containsBlanks" priority="414">
      <formula>LEN(TRIM(AJ18))=0</formula>
    </cfRule>
  </conditionalFormatting>
  <conditionalFormatting sqref="AJ18">
    <cfRule type="containsBlanks" dxfId="222" priority="411">
      <formula>LEN(TRIM(AJ18))=0</formula>
    </cfRule>
    <cfRule type="containsBlanks" priority="412">
      <formula>LEN(TRIM(AJ18))=0</formula>
    </cfRule>
  </conditionalFormatting>
  <conditionalFormatting sqref="AJ18">
    <cfRule type="containsBlanks" dxfId="221" priority="409">
      <formula>LEN(TRIM(AJ18))=0</formula>
    </cfRule>
    <cfRule type="containsBlanks" priority="410">
      <formula>LEN(TRIM(AJ18))=0</formula>
    </cfRule>
  </conditionalFormatting>
  <conditionalFormatting sqref="AJ18">
    <cfRule type="containsBlanks" dxfId="220" priority="407">
      <formula>LEN(TRIM(AJ18))=0</formula>
    </cfRule>
    <cfRule type="containsBlanks" priority="408">
      <formula>LEN(TRIM(AJ18))=0</formula>
    </cfRule>
  </conditionalFormatting>
  <conditionalFormatting sqref="AJ16">
    <cfRule type="containsBlanks" dxfId="219" priority="405">
      <formula>LEN(TRIM(AJ16))=0</formula>
    </cfRule>
    <cfRule type="containsBlanks" priority="406">
      <formula>LEN(TRIM(AJ16))=0</formula>
    </cfRule>
  </conditionalFormatting>
  <conditionalFormatting sqref="AJ17">
    <cfRule type="containsBlanks" dxfId="218" priority="403">
      <formula>LEN(TRIM(AJ17))=0</formula>
    </cfRule>
    <cfRule type="containsBlanks" priority="404">
      <formula>LEN(TRIM(AJ17))=0</formula>
    </cfRule>
  </conditionalFormatting>
  <conditionalFormatting sqref="AK18">
    <cfRule type="containsBlanks" dxfId="217" priority="401">
      <formula>LEN(TRIM(AK18))=0</formula>
    </cfRule>
    <cfRule type="containsBlanks" priority="402">
      <formula>LEN(TRIM(AK18))=0</formula>
    </cfRule>
  </conditionalFormatting>
  <conditionalFormatting sqref="AK18">
    <cfRule type="containsBlanks" dxfId="216" priority="399">
      <formula>LEN(TRIM(AK18))=0</formula>
    </cfRule>
    <cfRule type="containsBlanks" priority="400">
      <formula>LEN(TRIM(AK18))=0</formula>
    </cfRule>
  </conditionalFormatting>
  <conditionalFormatting sqref="AK18">
    <cfRule type="containsBlanks" dxfId="215" priority="397">
      <formula>LEN(TRIM(AK18))=0</formula>
    </cfRule>
    <cfRule type="containsBlanks" priority="398">
      <formula>LEN(TRIM(AK18))=0</formula>
    </cfRule>
  </conditionalFormatting>
  <conditionalFormatting sqref="AK18">
    <cfRule type="containsBlanks" dxfId="214" priority="395">
      <formula>LEN(TRIM(AK18))=0</formula>
    </cfRule>
    <cfRule type="containsBlanks" priority="396">
      <formula>LEN(TRIM(AK18))=0</formula>
    </cfRule>
  </conditionalFormatting>
  <conditionalFormatting sqref="AL6">
    <cfRule type="containsBlanks" dxfId="213" priority="393">
      <formula>LEN(TRIM(AL6))=0</formula>
    </cfRule>
    <cfRule type="containsBlanks" priority="394">
      <formula>LEN(TRIM(AL6))=0</formula>
    </cfRule>
  </conditionalFormatting>
  <conditionalFormatting sqref="AL6">
    <cfRule type="containsBlanks" dxfId="212" priority="391">
      <formula>LEN(TRIM(AL6))=0</formula>
    </cfRule>
    <cfRule type="containsBlanks" priority="392">
      <formula>LEN(TRIM(AL6))=0</formula>
    </cfRule>
  </conditionalFormatting>
  <conditionalFormatting sqref="AL6">
    <cfRule type="containsBlanks" dxfId="211" priority="389">
      <formula>LEN(TRIM(AL6))=0</formula>
    </cfRule>
    <cfRule type="containsBlanks" priority="390">
      <formula>LEN(TRIM(AL6))=0</formula>
    </cfRule>
  </conditionalFormatting>
  <conditionalFormatting sqref="AL6">
    <cfRule type="containsBlanks" dxfId="210" priority="387">
      <formula>LEN(TRIM(AL6))=0</formula>
    </cfRule>
    <cfRule type="containsBlanks" priority="388">
      <formula>LEN(TRIM(AL6))=0</formula>
    </cfRule>
  </conditionalFormatting>
  <conditionalFormatting sqref="AL4">
    <cfRule type="containsBlanks" dxfId="209" priority="385">
      <formula>LEN(TRIM(AL4))=0</formula>
    </cfRule>
    <cfRule type="containsBlanks" priority="386">
      <formula>LEN(TRIM(AL4))=0</formula>
    </cfRule>
  </conditionalFormatting>
  <conditionalFormatting sqref="AL5">
    <cfRule type="containsBlanks" dxfId="208" priority="383">
      <formula>LEN(TRIM(AL5))=0</formula>
    </cfRule>
    <cfRule type="containsBlanks" priority="384">
      <formula>LEN(TRIM(AL5))=0</formula>
    </cfRule>
  </conditionalFormatting>
  <conditionalFormatting sqref="AL14">
    <cfRule type="containsBlanks" dxfId="207" priority="381">
      <formula>LEN(TRIM(AL14))=0</formula>
    </cfRule>
    <cfRule type="containsBlanks" priority="382">
      <formula>LEN(TRIM(AL14))=0</formula>
    </cfRule>
  </conditionalFormatting>
  <conditionalFormatting sqref="AL14">
    <cfRule type="containsBlanks" dxfId="206" priority="379">
      <formula>LEN(TRIM(AL14))=0</formula>
    </cfRule>
    <cfRule type="containsBlanks" priority="380">
      <formula>LEN(TRIM(AL14))=0</formula>
    </cfRule>
  </conditionalFormatting>
  <conditionalFormatting sqref="AL14">
    <cfRule type="containsBlanks" dxfId="205" priority="377">
      <formula>LEN(TRIM(AL14))=0</formula>
    </cfRule>
    <cfRule type="containsBlanks" priority="378">
      <formula>LEN(TRIM(AL14))=0</formula>
    </cfRule>
  </conditionalFormatting>
  <conditionalFormatting sqref="AL14">
    <cfRule type="containsBlanks" dxfId="204" priority="375">
      <formula>LEN(TRIM(AL14))=0</formula>
    </cfRule>
    <cfRule type="containsBlanks" priority="376">
      <formula>LEN(TRIM(AL14))=0</formula>
    </cfRule>
  </conditionalFormatting>
  <conditionalFormatting sqref="AL12">
    <cfRule type="containsBlanks" dxfId="203" priority="373">
      <formula>LEN(TRIM(AL12))=0</formula>
    </cfRule>
    <cfRule type="containsBlanks" priority="374">
      <formula>LEN(TRIM(AL12))=0</formula>
    </cfRule>
  </conditionalFormatting>
  <conditionalFormatting sqref="AL13">
    <cfRule type="containsBlanks" dxfId="202" priority="371">
      <formula>LEN(TRIM(AL13))=0</formula>
    </cfRule>
    <cfRule type="containsBlanks" priority="372">
      <formula>LEN(TRIM(AL13))=0</formula>
    </cfRule>
  </conditionalFormatting>
  <conditionalFormatting sqref="AK10">
    <cfRule type="containsBlanks" dxfId="201" priority="357">
      <formula>LEN(TRIM(AK10))=0</formula>
    </cfRule>
    <cfRule type="containsBlanks" priority="358">
      <formula>LEN(TRIM(AK10))=0</formula>
    </cfRule>
  </conditionalFormatting>
  <conditionalFormatting sqref="AK10">
    <cfRule type="containsBlanks" dxfId="200" priority="355">
      <formula>LEN(TRIM(AK10))=0</formula>
    </cfRule>
    <cfRule type="containsBlanks" priority="356">
      <formula>LEN(TRIM(AK10))=0</formula>
    </cfRule>
  </conditionalFormatting>
  <conditionalFormatting sqref="AK10">
    <cfRule type="containsBlanks" dxfId="199" priority="353">
      <formula>LEN(TRIM(AK10))=0</formula>
    </cfRule>
    <cfRule type="containsBlanks" priority="354">
      <formula>LEN(TRIM(AK10))=0</formula>
    </cfRule>
  </conditionalFormatting>
  <conditionalFormatting sqref="AK10">
    <cfRule type="containsBlanks" dxfId="198" priority="351">
      <formula>LEN(TRIM(AK10))=0</formula>
    </cfRule>
    <cfRule type="containsBlanks" priority="352">
      <formula>LEN(TRIM(AK10))=0</formula>
    </cfRule>
  </conditionalFormatting>
  <conditionalFormatting sqref="AK10">
    <cfRule type="containsBlanks" dxfId="197" priority="349">
      <formula>LEN(TRIM(AK10))=0</formula>
    </cfRule>
    <cfRule type="containsBlanks" priority="350">
      <formula>LEN(TRIM(AK10))=0</formula>
    </cfRule>
  </conditionalFormatting>
  <conditionalFormatting sqref="AK10">
    <cfRule type="containsBlanks" dxfId="196" priority="347">
      <formula>LEN(TRIM(AK10))=0</formula>
    </cfRule>
    <cfRule type="containsBlanks" priority="348">
      <formula>LEN(TRIM(AK10))=0</formula>
    </cfRule>
  </conditionalFormatting>
  <conditionalFormatting sqref="AK10">
    <cfRule type="containsBlanks" dxfId="195" priority="345">
      <formula>LEN(TRIM(AK10))=0</formula>
    </cfRule>
    <cfRule type="containsBlanks" priority="346">
      <formula>LEN(TRIM(AK10))=0</formula>
    </cfRule>
  </conditionalFormatting>
  <conditionalFormatting sqref="AK10">
    <cfRule type="containsBlanks" dxfId="194" priority="343">
      <formula>LEN(TRIM(AK10))=0</formula>
    </cfRule>
    <cfRule type="containsBlanks" priority="344">
      <formula>LEN(TRIM(AK10))=0</formula>
    </cfRule>
  </conditionalFormatting>
  <conditionalFormatting sqref="AK8">
    <cfRule type="containsBlanks" dxfId="193" priority="341">
      <formula>LEN(TRIM(AK8))=0</formula>
    </cfRule>
    <cfRule type="containsBlanks" priority="342">
      <formula>LEN(TRIM(AK8))=0</formula>
    </cfRule>
  </conditionalFormatting>
  <conditionalFormatting sqref="AK9">
    <cfRule type="containsBlanks" dxfId="192" priority="339">
      <formula>LEN(TRIM(AK9))=0</formula>
    </cfRule>
    <cfRule type="containsBlanks" priority="340">
      <formula>LEN(TRIM(AK9))=0</formula>
    </cfRule>
  </conditionalFormatting>
  <conditionalFormatting sqref="AL18">
    <cfRule type="containsBlanks" dxfId="191" priority="337">
      <formula>LEN(TRIM(AL18))=0</formula>
    </cfRule>
    <cfRule type="containsBlanks" priority="338">
      <formula>LEN(TRIM(AL18))=0</formula>
    </cfRule>
  </conditionalFormatting>
  <conditionalFormatting sqref="AL18">
    <cfRule type="containsBlanks" dxfId="190" priority="335">
      <formula>LEN(TRIM(AL18))=0</formula>
    </cfRule>
    <cfRule type="containsBlanks" priority="336">
      <formula>LEN(TRIM(AL18))=0</formula>
    </cfRule>
  </conditionalFormatting>
  <conditionalFormatting sqref="AL18">
    <cfRule type="containsBlanks" dxfId="189" priority="333">
      <formula>LEN(TRIM(AL18))=0</formula>
    </cfRule>
    <cfRule type="containsBlanks" priority="334">
      <formula>LEN(TRIM(AL18))=0</formula>
    </cfRule>
  </conditionalFormatting>
  <conditionalFormatting sqref="AL18">
    <cfRule type="containsBlanks" dxfId="188" priority="331">
      <formula>LEN(TRIM(AL18))=0</formula>
    </cfRule>
    <cfRule type="containsBlanks" priority="332">
      <formula>LEN(TRIM(AL18))=0</formula>
    </cfRule>
  </conditionalFormatting>
  <conditionalFormatting sqref="AL16">
    <cfRule type="containsBlanks" dxfId="187" priority="329">
      <formula>LEN(TRIM(AL16))=0</formula>
    </cfRule>
    <cfRule type="containsBlanks" priority="330">
      <formula>LEN(TRIM(AL16))=0</formula>
    </cfRule>
  </conditionalFormatting>
  <conditionalFormatting sqref="AL17">
    <cfRule type="containsBlanks" dxfId="186" priority="327">
      <formula>LEN(TRIM(AL17))=0</formula>
    </cfRule>
    <cfRule type="containsBlanks" priority="328">
      <formula>LEN(TRIM(AL17))=0</formula>
    </cfRule>
  </conditionalFormatting>
  <conditionalFormatting sqref="AM18">
    <cfRule type="containsBlanks" dxfId="185" priority="325">
      <formula>LEN(TRIM(AM18))=0</formula>
    </cfRule>
    <cfRule type="containsBlanks" priority="326">
      <formula>LEN(TRIM(AM18))=0</formula>
    </cfRule>
  </conditionalFormatting>
  <conditionalFormatting sqref="AM18">
    <cfRule type="containsBlanks" dxfId="184" priority="323">
      <formula>LEN(TRIM(AM18))=0</formula>
    </cfRule>
    <cfRule type="containsBlanks" priority="324">
      <formula>LEN(TRIM(AM18))=0</formula>
    </cfRule>
  </conditionalFormatting>
  <conditionalFormatting sqref="AM18">
    <cfRule type="containsBlanks" dxfId="183" priority="321">
      <formula>LEN(TRIM(AM18))=0</formula>
    </cfRule>
    <cfRule type="containsBlanks" priority="322">
      <formula>LEN(TRIM(AM18))=0</formula>
    </cfRule>
  </conditionalFormatting>
  <conditionalFormatting sqref="AM18">
    <cfRule type="containsBlanks" dxfId="182" priority="319">
      <formula>LEN(TRIM(AM18))=0</formula>
    </cfRule>
    <cfRule type="containsBlanks" priority="320">
      <formula>LEN(TRIM(AM18))=0</formula>
    </cfRule>
  </conditionalFormatting>
  <conditionalFormatting sqref="AM16">
    <cfRule type="containsBlanks" dxfId="181" priority="317">
      <formula>LEN(TRIM(AM16))=0</formula>
    </cfRule>
    <cfRule type="containsBlanks" priority="318">
      <formula>LEN(TRIM(AM16))=0</formula>
    </cfRule>
  </conditionalFormatting>
  <conditionalFormatting sqref="AM17">
    <cfRule type="containsBlanks" dxfId="180" priority="315">
      <formula>LEN(TRIM(AM17))=0</formula>
    </cfRule>
    <cfRule type="containsBlanks" priority="316">
      <formula>LEN(TRIM(AM17))=0</formula>
    </cfRule>
  </conditionalFormatting>
  <conditionalFormatting sqref="AM14">
    <cfRule type="containsBlanks" dxfId="179" priority="313">
      <formula>LEN(TRIM(AM14))=0</formula>
    </cfRule>
    <cfRule type="containsBlanks" priority="314">
      <formula>LEN(TRIM(AM14))=0</formula>
    </cfRule>
  </conditionalFormatting>
  <conditionalFormatting sqref="AM14">
    <cfRule type="containsBlanks" dxfId="178" priority="311">
      <formula>LEN(TRIM(AM14))=0</formula>
    </cfRule>
    <cfRule type="containsBlanks" priority="312">
      <formula>LEN(TRIM(AM14))=0</formula>
    </cfRule>
  </conditionalFormatting>
  <conditionalFormatting sqref="AM14">
    <cfRule type="containsBlanks" dxfId="177" priority="309">
      <formula>LEN(TRIM(AM14))=0</formula>
    </cfRule>
    <cfRule type="containsBlanks" priority="310">
      <formula>LEN(TRIM(AM14))=0</formula>
    </cfRule>
  </conditionalFormatting>
  <conditionalFormatting sqref="AM14">
    <cfRule type="containsBlanks" dxfId="176" priority="307">
      <formula>LEN(TRIM(AM14))=0</formula>
    </cfRule>
    <cfRule type="containsBlanks" priority="308">
      <formula>LEN(TRIM(AM14))=0</formula>
    </cfRule>
  </conditionalFormatting>
  <conditionalFormatting sqref="AM12">
    <cfRule type="containsBlanks" dxfId="175" priority="305">
      <formula>LEN(TRIM(AM12))=0</formula>
    </cfRule>
    <cfRule type="containsBlanks" priority="306">
      <formula>LEN(TRIM(AM12))=0</formula>
    </cfRule>
  </conditionalFormatting>
  <conditionalFormatting sqref="AM13">
    <cfRule type="containsBlanks" dxfId="174" priority="303">
      <formula>LEN(TRIM(AM13))=0</formula>
    </cfRule>
    <cfRule type="containsBlanks" priority="304">
      <formula>LEN(TRIM(AM13))=0</formula>
    </cfRule>
  </conditionalFormatting>
  <conditionalFormatting sqref="AL10">
    <cfRule type="containsBlanks" dxfId="173" priority="301">
      <formula>LEN(TRIM(AL10))=0</formula>
    </cfRule>
    <cfRule type="containsBlanks" priority="302">
      <formula>LEN(TRIM(AL10))=0</formula>
    </cfRule>
  </conditionalFormatting>
  <conditionalFormatting sqref="AL10">
    <cfRule type="containsBlanks" dxfId="172" priority="299">
      <formula>LEN(TRIM(AL10))=0</formula>
    </cfRule>
    <cfRule type="containsBlanks" priority="300">
      <formula>LEN(TRIM(AL10))=0</formula>
    </cfRule>
  </conditionalFormatting>
  <conditionalFormatting sqref="AL10">
    <cfRule type="containsBlanks" dxfId="171" priority="297">
      <formula>LEN(TRIM(AL10))=0</formula>
    </cfRule>
    <cfRule type="containsBlanks" priority="298">
      <formula>LEN(TRIM(AL10))=0</formula>
    </cfRule>
  </conditionalFormatting>
  <conditionalFormatting sqref="AL10">
    <cfRule type="containsBlanks" dxfId="170" priority="295">
      <formula>LEN(TRIM(AL10))=0</formula>
    </cfRule>
    <cfRule type="containsBlanks" priority="296">
      <formula>LEN(TRIM(AL10))=0</formula>
    </cfRule>
  </conditionalFormatting>
  <conditionalFormatting sqref="AL10">
    <cfRule type="containsBlanks" dxfId="169" priority="293">
      <formula>LEN(TRIM(AL10))=0</formula>
    </cfRule>
    <cfRule type="containsBlanks" priority="294">
      <formula>LEN(TRIM(AL10))=0</formula>
    </cfRule>
  </conditionalFormatting>
  <conditionalFormatting sqref="AL10">
    <cfRule type="containsBlanks" dxfId="168" priority="291">
      <formula>LEN(TRIM(AL10))=0</formula>
    </cfRule>
    <cfRule type="containsBlanks" priority="292">
      <formula>LEN(TRIM(AL10))=0</formula>
    </cfRule>
  </conditionalFormatting>
  <conditionalFormatting sqref="AL10">
    <cfRule type="containsBlanks" dxfId="167" priority="289">
      <formula>LEN(TRIM(AL10))=0</formula>
    </cfRule>
    <cfRule type="containsBlanks" priority="290">
      <formula>LEN(TRIM(AL10))=0</formula>
    </cfRule>
  </conditionalFormatting>
  <conditionalFormatting sqref="AL10">
    <cfRule type="containsBlanks" dxfId="166" priority="287">
      <formula>LEN(TRIM(AL10))=0</formula>
    </cfRule>
    <cfRule type="containsBlanks" priority="288">
      <formula>LEN(TRIM(AL10))=0</formula>
    </cfRule>
  </conditionalFormatting>
  <conditionalFormatting sqref="AL8">
    <cfRule type="containsBlanks" dxfId="165" priority="285">
      <formula>LEN(TRIM(AL8))=0</formula>
    </cfRule>
    <cfRule type="containsBlanks" priority="286">
      <formula>LEN(TRIM(AL8))=0</formula>
    </cfRule>
  </conditionalFormatting>
  <conditionalFormatting sqref="AL9">
    <cfRule type="containsBlanks" dxfId="164" priority="283">
      <formula>LEN(TRIM(AL9))=0</formula>
    </cfRule>
    <cfRule type="containsBlanks" priority="284">
      <formula>LEN(TRIM(AL9))=0</formula>
    </cfRule>
  </conditionalFormatting>
  <conditionalFormatting sqref="AM6">
    <cfRule type="containsBlanks" dxfId="163" priority="269">
      <formula>LEN(TRIM(AM6))=0</formula>
    </cfRule>
    <cfRule type="containsBlanks" priority="270">
      <formula>LEN(TRIM(AM6))=0</formula>
    </cfRule>
  </conditionalFormatting>
  <conditionalFormatting sqref="AM6">
    <cfRule type="containsBlanks" dxfId="162" priority="267">
      <formula>LEN(TRIM(AM6))=0</formula>
    </cfRule>
    <cfRule type="containsBlanks" priority="268">
      <formula>LEN(TRIM(AM6))=0</formula>
    </cfRule>
  </conditionalFormatting>
  <conditionalFormatting sqref="AM6">
    <cfRule type="containsBlanks" dxfId="161" priority="265">
      <formula>LEN(TRIM(AM6))=0</formula>
    </cfRule>
    <cfRule type="containsBlanks" priority="266">
      <formula>LEN(TRIM(AM6))=0</formula>
    </cfRule>
  </conditionalFormatting>
  <conditionalFormatting sqref="AM6">
    <cfRule type="containsBlanks" dxfId="160" priority="263">
      <formula>LEN(TRIM(AM6))=0</formula>
    </cfRule>
    <cfRule type="containsBlanks" priority="264">
      <formula>LEN(TRIM(AM6))=0</formula>
    </cfRule>
  </conditionalFormatting>
  <conditionalFormatting sqref="AM4">
    <cfRule type="containsBlanks" dxfId="159" priority="261">
      <formula>LEN(TRIM(AM4))=0</formula>
    </cfRule>
    <cfRule type="containsBlanks" priority="262">
      <formula>LEN(TRIM(AM4))=0</formula>
    </cfRule>
  </conditionalFormatting>
  <conditionalFormatting sqref="AM5">
    <cfRule type="containsBlanks" dxfId="158" priority="259">
      <formula>LEN(TRIM(AM5))=0</formula>
    </cfRule>
    <cfRule type="containsBlanks" priority="260">
      <formula>LEN(TRIM(AM5))=0</formula>
    </cfRule>
  </conditionalFormatting>
  <conditionalFormatting sqref="AN6">
    <cfRule type="containsBlanks" dxfId="157" priority="257">
      <formula>LEN(TRIM(AN6))=0</formula>
    </cfRule>
    <cfRule type="containsBlanks" priority="258">
      <formula>LEN(TRIM(AN6))=0</formula>
    </cfRule>
  </conditionalFormatting>
  <conditionalFormatting sqref="AN6">
    <cfRule type="containsBlanks" dxfId="156" priority="255">
      <formula>LEN(TRIM(AN6))=0</formula>
    </cfRule>
    <cfRule type="containsBlanks" priority="256">
      <formula>LEN(TRIM(AN6))=0</formula>
    </cfRule>
  </conditionalFormatting>
  <conditionalFormatting sqref="AN6">
    <cfRule type="containsBlanks" dxfId="155" priority="253">
      <formula>LEN(TRIM(AN6))=0</formula>
    </cfRule>
    <cfRule type="containsBlanks" priority="254">
      <formula>LEN(TRIM(AN6))=0</formula>
    </cfRule>
  </conditionalFormatting>
  <conditionalFormatting sqref="AN6">
    <cfRule type="containsBlanks" dxfId="154" priority="251">
      <formula>LEN(TRIM(AN6))=0</formula>
    </cfRule>
    <cfRule type="containsBlanks" priority="252">
      <formula>LEN(TRIM(AN6))=0</formula>
    </cfRule>
  </conditionalFormatting>
  <conditionalFormatting sqref="AN4">
    <cfRule type="containsBlanks" dxfId="153" priority="249">
      <formula>LEN(TRIM(AN4))=0</formula>
    </cfRule>
    <cfRule type="containsBlanks" priority="250">
      <formula>LEN(TRIM(AN4))=0</formula>
    </cfRule>
  </conditionalFormatting>
  <conditionalFormatting sqref="AN5">
    <cfRule type="containsBlanks" dxfId="152" priority="247">
      <formula>LEN(TRIM(AN5))=0</formula>
    </cfRule>
    <cfRule type="containsBlanks" priority="248">
      <formula>LEN(TRIM(AN5))=0</formula>
    </cfRule>
  </conditionalFormatting>
  <conditionalFormatting sqref="AM10">
    <cfRule type="containsBlanks" dxfId="151" priority="245">
      <formula>LEN(TRIM(AM10))=0</formula>
    </cfRule>
    <cfRule type="containsBlanks" priority="246">
      <formula>LEN(TRIM(AM10))=0</formula>
    </cfRule>
  </conditionalFormatting>
  <conditionalFormatting sqref="AM10">
    <cfRule type="containsBlanks" dxfId="150" priority="243">
      <formula>LEN(TRIM(AM10))=0</formula>
    </cfRule>
    <cfRule type="containsBlanks" priority="244">
      <formula>LEN(TRIM(AM10))=0</formula>
    </cfRule>
  </conditionalFormatting>
  <conditionalFormatting sqref="AM10">
    <cfRule type="containsBlanks" dxfId="149" priority="241">
      <formula>LEN(TRIM(AM10))=0</formula>
    </cfRule>
    <cfRule type="containsBlanks" priority="242">
      <formula>LEN(TRIM(AM10))=0</formula>
    </cfRule>
  </conditionalFormatting>
  <conditionalFormatting sqref="AM10">
    <cfRule type="containsBlanks" dxfId="148" priority="239">
      <formula>LEN(TRIM(AM10))=0</formula>
    </cfRule>
    <cfRule type="containsBlanks" priority="240">
      <formula>LEN(TRIM(AM10))=0</formula>
    </cfRule>
  </conditionalFormatting>
  <conditionalFormatting sqref="AM10">
    <cfRule type="containsBlanks" dxfId="147" priority="237">
      <formula>LEN(TRIM(AM10))=0</formula>
    </cfRule>
    <cfRule type="containsBlanks" priority="238">
      <formula>LEN(TRIM(AM10))=0</formula>
    </cfRule>
  </conditionalFormatting>
  <conditionalFormatting sqref="AM10">
    <cfRule type="containsBlanks" dxfId="146" priority="235">
      <formula>LEN(TRIM(AM10))=0</formula>
    </cfRule>
    <cfRule type="containsBlanks" priority="236">
      <formula>LEN(TRIM(AM10))=0</formula>
    </cfRule>
  </conditionalFormatting>
  <conditionalFormatting sqref="AM10">
    <cfRule type="containsBlanks" dxfId="145" priority="233">
      <formula>LEN(TRIM(AM10))=0</formula>
    </cfRule>
    <cfRule type="containsBlanks" priority="234">
      <formula>LEN(TRIM(AM10))=0</formula>
    </cfRule>
  </conditionalFormatting>
  <conditionalFormatting sqref="AM10">
    <cfRule type="containsBlanks" dxfId="144" priority="231">
      <formula>LEN(TRIM(AM10))=0</formula>
    </cfRule>
    <cfRule type="containsBlanks" priority="232">
      <formula>LEN(TRIM(AM10))=0</formula>
    </cfRule>
  </conditionalFormatting>
  <conditionalFormatting sqref="AM8">
    <cfRule type="containsBlanks" dxfId="143" priority="229">
      <formula>LEN(TRIM(AM8))=0</formula>
    </cfRule>
    <cfRule type="containsBlanks" priority="230">
      <formula>LEN(TRIM(AM8))=0</formula>
    </cfRule>
  </conditionalFormatting>
  <conditionalFormatting sqref="AM9">
    <cfRule type="containsBlanks" dxfId="142" priority="227">
      <formula>LEN(TRIM(AM9))=0</formula>
    </cfRule>
    <cfRule type="containsBlanks" priority="228">
      <formula>LEN(TRIM(AM9))=0</formula>
    </cfRule>
  </conditionalFormatting>
  <conditionalFormatting sqref="AN18">
    <cfRule type="containsBlanks" dxfId="141" priority="225">
      <formula>LEN(TRIM(AN18))=0</formula>
    </cfRule>
    <cfRule type="containsBlanks" priority="226">
      <formula>LEN(TRIM(AN18))=0</formula>
    </cfRule>
  </conditionalFormatting>
  <conditionalFormatting sqref="AN18">
    <cfRule type="containsBlanks" dxfId="140" priority="223">
      <formula>LEN(TRIM(AN18))=0</formula>
    </cfRule>
    <cfRule type="containsBlanks" priority="224">
      <formula>LEN(TRIM(AN18))=0</formula>
    </cfRule>
  </conditionalFormatting>
  <conditionalFormatting sqref="AN18">
    <cfRule type="containsBlanks" dxfId="139" priority="221">
      <formula>LEN(TRIM(AN18))=0</formula>
    </cfRule>
    <cfRule type="containsBlanks" priority="222">
      <formula>LEN(TRIM(AN18))=0</formula>
    </cfRule>
  </conditionalFormatting>
  <conditionalFormatting sqref="AN18">
    <cfRule type="containsBlanks" dxfId="138" priority="219">
      <formula>LEN(TRIM(AN18))=0</formula>
    </cfRule>
    <cfRule type="containsBlanks" priority="220">
      <formula>LEN(TRIM(AN18))=0</formula>
    </cfRule>
  </conditionalFormatting>
  <conditionalFormatting sqref="AN16">
    <cfRule type="containsBlanks" dxfId="137" priority="217">
      <formula>LEN(TRIM(AN16))=0</formula>
    </cfRule>
    <cfRule type="containsBlanks" priority="218">
      <formula>LEN(TRIM(AN16))=0</formula>
    </cfRule>
  </conditionalFormatting>
  <conditionalFormatting sqref="AN17">
    <cfRule type="containsBlanks" dxfId="136" priority="215">
      <formula>LEN(TRIM(AN17))=0</formula>
    </cfRule>
    <cfRule type="containsBlanks" priority="216">
      <formula>LEN(TRIM(AN17))=0</formula>
    </cfRule>
  </conditionalFormatting>
  <conditionalFormatting sqref="AN8">
    <cfRule type="containsBlanks" dxfId="135" priority="201">
      <formula>LEN(TRIM(AN8))=0</formula>
    </cfRule>
    <cfRule type="containsBlanks" priority="202">
      <formula>LEN(TRIM(AN8))=0</formula>
    </cfRule>
  </conditionalFormatting>
  <conditionalFormatting sqref="AN9">
    <cfRule type="containsBlanks" dxfId="134" priority="199">
      <formula>LEN(TRIM(AN9))=0</formula>
    </cfRule>
    <cfRule type="containsBlanks" priority="200">
      <formula>LEN(TRIM(AN9))=0</formula>
    </cfRule>
  </conditionalFormatting>
  <conditionalFormatting sqref="AN14:AO14">
    <cfRule type="containsBlanks" dxfId="133" priority="197">
      <formula>LEN(TRIM(AN14))=0</formula>
    </cfRule>
    <cfRule type="containsBlanks" priority="198">
      <formula>LEN(TRIM(AN14))=0</formula>
    </cfRule>
  </conditionalFormatting>
  <conditionalFormatting sqref="AN14:AO14">
    <cfRule type="containsBlanks" dxfId="132" priority="195">
      <formula>LEN(TRIM(AN14))=0</formula>
    </cfRule>
    <cfRule type="containsBlanks" priority="196">
      <formula>LEN(TRIM(AN14))=0</formula>
    </cfRule>
  </conditionalFormatting>
  <conditionalFormatting sqref="AN14:AO14">
    <cfRule type="containsBlanks" dxfId="131" priority="193">
      <formula>LEN(TRIM(AN14))=0</formula>
    </cfRule>
    <cfRule type="containsBlanks" priority="194">
      <formula>LEN(TRIM(AN14))=0</formula>
    </cfRule>
  </conditionalFormatting>
  <conditionalFormatting sqref="AN14:AO14">
    <cfRule type="containsBlanks" dxfId="130" priority="191">
      <formula>LEN(TRIM(AN14))=0</formula>
    </cfRule>
    <cfRule type="containsBlanks" priority="192">
      <formula>LEN(TRIM(AN14))=0</formula>
    </cfRule>
  </conditionalFormatting>
  <conditionalFormatting sqref="AN12:AO12">
    <cfRule type="containsBlanks" dxfId="129" priority="189">
      <formula>LEN(TRIM(AN12))=0</formula>
    </cfRule>
    <cfRule type="containsBlanks" priority="190">
      <formula>LEN(TRIM(AN12))=0</formula>
    </cfRule>
  </conditionalFormatting>
  <conditionalFormatting sqref="AN13:AO13">
    <cfRule type="containsBlanks" dxfId="128" priority="187">
      <formula>LEN(TRIM(AN13))=0</formula>
    </cfRule>
    <cfRule type="containsBlanks" priority="188">
      <formula>LEN(TRIM(AN13))=0</formula>
    </cfRule>
  </conditionalFormatting>
  <conditionalFormatting sqref="AO6">
    <cfRule type="containsBlanks" dxfId="127" priority="185">
      <formula>LEN(TRIM(AO6))=0</formula>
    </cfRule>
    <cfRule type="containsBlanks" priority="186">
      <formula>LEN(TRIM(AO6))=0</formula>
    </cfRule>
  </conditionalFormatting>
  <conditionalFormatting sqref="AO6">
    <cfRule type="containsBlanks" dxfId="126" priority="183">
      <formula>LEN(TRIM(AO6))=0</formula>
    </cfRule>
    <cfRule type="containsBlanks" priority="184">
      <formula>LEN(TRIM(AO6))=0</formula>
    </cfRule>
  </conditionalFormatting>
  <conditionalFormatting sqref="AO6">
    <cfRule type="containsBlanks" dxfId="125" priority="181">
      <formula>LEN(TRIM(AO6))=0</formula>
    </cfRule>
    <cfRule type="containsBlanks" priority="182">
      <formula>LEN(TRIM(AO6))=0</formula>
    </cfRule>
  </conditionalFormatting>
  <conditionalFormatting sqref="AO6">
    <cfRule type="containsBlanks" dxfId="124" priority="179">
      <formula>LEN(TRIM(AO6))=0</formula>
    </cfRule>
    <cfRule type="containsBlanks" priority="180">
      <formula>LEN(TRIM(AO6))=0</formula>
    </cfRule>
  </conditionalFormatting>
  <conditionalFormatting sqref="AO4">
    <cfRule type="containsBlanks" dxfId="123" priority="177">
      <formula>LEN(TRIM(AO4))=0</formula>
    </cfRule>
    <cfRule type="containsBlanks" priority="178">
      <formula>LEN(TRIM(AO4))=0</formula>
    </cfRule>
  </conditionalFormatting>
  <conditionalFormatting sqref="AO5">
    <cfRule type="containsBlanks" dxfId="122" priority="175">
      <formula>LEN(TRIM(AO5))=0</formula>
    </cfRule>
    <cfRule type="containsBlanks" priority="176">
      <formula>LEN(TRIM(AO5))=0</formula>
    </cfRule>
  </conditionalFormatting>
  <conditionalFormatting sqref="AP6">
    <cfRule type="containsBlanks" dxfId="121" priority="173">
      <formula>LEN(TRIM(AP6))=0</formula>
    </cfRule>
    <cfRule type="containsBlanks" priority="174">
      <formula>LEN(TRIM(AP6))=0</formula>
    </cfRule>
  </conditionalFormatting>
  <conditionalFormatting sqref="AP6">
    <cfRule type="containsBlanks" dxfId="120" priority="171">
      <formula>LEN(TRIM(AP6))=0</formula>
    </cfRule>
    <cfRule type="containsBlanks" priority="172">
      <formula>LEN(TRIM(AP6))=0</formula>
    </cfRule>
  </conditionalFormatting>
  <conditionalFormatting sqref="AP6">
    <cfRule type="containsBlanks" dxfId="119" priority="169">
      <formula>LEN(TRIM(AP6))=0</formula>
    </cfRule>
    <cfRule type="containsBlanks" priority="170">
      <formula>LEN(TRIM(AP6))=0</formula>
    </cfRule>
  </conditionalFormatting>
  <conditionalFormatting sqref="AP6">
    <cfRule type="containsBlanks" dxfId="118" priority="167">
      <formula>LEN(TRIM(AP6))=0</formula>
    </cfRule>
    <cfRule type="containsBlanks" priority="168">
      <formula>LEN(TRIM(AP6))=0</formula>
    </cfRule>
  </conditionalFormatting>
  <conditionalFormatting sqref="AP4">
    <cfRule type="containsBlanks" dxfId="117" priority="165">
      <formula>LEN(TRIM(AP4))=0</formula>
    </cfRule>
    <cfRule type="containsBlanks" priority="166">
      <formula>LEN(TRIM(AP4))=0</formula>
    </cfRule>
  </conditionalFormatting>
  <conditionalFormatting sqref="AP5">
    <cfRule type="containsBlanks" dxfId="116" priority="163">
      <formula>LEN(TRIM(AP5))=0</formula>
    </cfRule>
    <cfRule type="containsBlanks" priority="164">
      <formula>LEN(TRIM(AP5))=0</formula>
    </cfRule>
  </conditionalFormatting>
  <conditionalFormatting sqref="AO10">
    <cfRule type="containsBlanks" dxfId="115" priority="161">
      <formula>LEN(TRIM(AO10))=0</formula>
    </cfRule>
    <cfRule type="containsBlanks" priority="162">
      <formula>LEN(TRIM(AO10))=0</formula>
    </cfRule>
  </conditionalFormatting>
  <conditionalFormatting sqref="AO10">
    <cfRule type="containsBlanks" dxfId="114" priority="159">
      <formula>LEN(TRIM(AO10))=0</formula>
    </cfRule>
    <cfRule type="containsBlanks" priority="160">
      <formula>LEN(TRIM(AO10))=0</formula>
    </cfRule>
  </conditionalFormatting>
  <conditionalFormatting sqref="AO10">
    <cfRule type="containsBlanks" dxfId="113" priority="157">
      <formula>LEN(TRIM(AO10))=0</formula>
    </cfRule>
    <cfRule type="containsBlanks" priority="158">
      <formula>LEN(TRIM(AO10))=0</formula>
    </cfRule>
  </conditionalFormatting>
  <conditionalFormatting sqref="AO10">
    <cfRule type="containsBlanks" dxfId="112" priority="155">
      <formula>LEN(TRIM(AO10))=0</formula>
    </cfRule>
    <cfRule type="containsBlanks" priority="156">
      <formula>LEN(TRIM(AO10))=0</formula>
    </cfRule>
  </conditionalFormatting>
  <conditionalFormatting sqref="AO8">
    <cfRule type="containsBlanks" dxfId="111" priority="153">
      <formula>LEN(TRIM(AO8))=0</formula>
    </cfRule>
    <cfRule type="containsBlanks" priority="154">
      <formula>LEN(TRIM(AO8))=0</formula>
    </cfRule>
  </conditionalFormatting>
  <conditionalFormatting sqref="AO9">
    <cfRule type="containsBlanks" dxfId="110" priority="151">
      <formula>LEN(TRIM(AO9))=0</formula>
    </cfRule>
    <cfRule type="containsBlanks" priority="152">
      <formula>LEN(TRIM(AO9))=0</formula>
    </cfRule>
  </conditionalFormatting>
  <conditionalFormatting sqref="AO18">
    <cfRule type="containsBlanks" dxfId="109" priority="149">
      <formula>LEN(TRIM(AO18))=0</formula>
    </cfRule>
    <cfRule type="containsBlanks" priority="150">
      <formula>LEN(TRIM(AO18))=0</formula>
    </cfRule>
  </conditionalFormatting>
  <conditionalFormatting sqref="AO18">
    <cfRule type="containsBlanks" dxfId="108" priority="147">
      <formula>LEN(TRIM(AO18))=0</formula>
    </cfRule>
    <cfRule type="containsBlanks" priority="148">
      <formula>LEN(TRIM(AO18))=0</formula>
    </cfRule>
  </conditionalFormatting>
  <conditionalFormatting sqref="AO18">
    <cfRule type="containsBlanks" dxfId="107" priority="145">
      <formula>LEN(TRIM(AO18))=0</formula>
    </cfRule>
    <cfRule type="containsBlanks" priority="146">
      <formula>LEN(TRIM(AO18))=0</formula>
    </cfRule>
  </conditionalFormatting>
  <conditionalFormatting sqref="AO18">
    <cfRule type="containsBlanks" dxfId="106" priority="143">
      <formula>LEN(TRIM(AO18))=0</formula>
    </cfRule>
    <cfRule type="containsBlanks" priority="144">
      <formula>LEN(TRIM(AO18))=0</formula>
    </cfRule>
  </conditionalFormatting>
  <conditionalFormatting sqref="AO16">
    <cfRule type="containsBlanks" dxfId="105" priority="141">
      <formula>LEN(TRIM(AO16))=0</formula>
    </cfRule>
    <cfRule type="containsBlanks" priority="142">
      <formula>LEN(TRIM(AO16))=0</formula>
    </cfRule>
  </conditionalFormatting>
  <conditionalFormatting sqref="AO17">
    <cfRule type="containsBlanks" dxfId="104" priority="139">
      <formula>LEN(TRIM(AO17))=0</formula>
    </cfRule>
    <cfRule type="containsBlanks" priority="140">
      <formula>LEN(TRIM(AO17))=0</formula>
    </cfRule>
  </conditionalFormatting>
  <conditionalFormatting sqref="AP16">
    <cfRule type="containsBlanks" dxfId="103" priority="137">
      <formula>LEN(TRIM(AP16))=0</formula>
    </cfRule>
    <cfRule type="containsBlanks" priority="138">
      <formula>LEN(TRIM(AP16))=0</formula>
    </cfRule>
  </conditionalFormatting>
  <conditionalFormatting sqref="AP17">
    <cfRule type="containsBlanks" dxfId="102" priority="135">
      <formula>LEN(TRIM(AP17))=0</formula>
    </cfRule>
    <cfRule type="containsBlanks" priority="136">
      <formula>LEN(TRIM(AP17))=0</formula>
    </cfRule>
  </conditionalFormatting>
  <conditionalFormatting sqref="AQ10">
    <cfRule type="containsBlanks" dxfId="101" priority="133">
      <formula>LEN(TRIM(AQ10))=0</formula>
    </cfRule>
    <cfRule type="containsBlanks" priority="134">
      <formula>LEN(TRIM(AQ10))=0</formula>
    </cfRule>
  </conditionalFormatting>
  <conditionalFormatting sqref="AQ10">
    <cfRule type="containsBlanks" dxfId="100" priority="131">
      <formula>LEN(TRIM(AQ10))=0</formula>
    </cfRule>
    <cfRule type="containsBlanks" priority="132">
      <formula>LEN(TRIM(AQ10))=0</formula>
    </cfRule>
  </conditionalFormatting>
  <conditionalFormatting sqref="AQ10">
    <cfRule type="containsBlanks" dxfId="99" priority="129">
      <formula>LEN(TRIM(AQ10))=0</formula>
    </cfRule>
    <cfRule type="containsBlanks" priority="130">
      <formula>LEN(TRIM(AQ10))=0</formula>
    </cfRule>
  </conditionalFormatting>
  <conditionalFormatting sqref="AQ10">
    <cfRule type="containsBlanks" dxfId="98" priority="127">
      <formula>LEN(TRIM(AQ10))=0</formula>
    </cfRule>
    <cfRule type="containsBlanks" priority="128">
      <formula>LEN(TRIM(AQ10))=0</formula>
    </cfRule>
  </conditionalFormatting>
  <conditionalFormatting sqref="AQ18">
    <cfRule type="containsBlanks" dxfId="93" priority="117">
      <formula>LEN(TRIM(AQ18))=0</formula>
    </cfRule>
    <cfRule type="containsBlanks" priority="118">
      <formula>LEN(TRIM(AQ18))=0</formula>
    </cfRule>
  </conditionalFormatting>
  <conditionalFormatting sqref="AQ18">
    <cfRule type="containsBlanks" dxfId="92" priority="115">
      <formula>LEN(TRIM(AQ18))=0</formula>
    </cfRule>
    <cfRule type="containsBlanks" priority="116">
      <formula>LEN(TRIM(AQ18))=0</formula>
    </cfRule>
  </conditionalFormatting>
  <conditionalFormatting sqref="AQ18">
    <cfRule type="containsBlanks" dxfId="91" priority="113">
      <formula>LEN(TRIM(AQ18))=0</formula>
    </cfRule>
    <cfRule type="containsBlanks" priority="114">
      <formula>LEN(TRIM(AQ18))=0</formula>
    </cfRule>
  </conditionalFormatting>
  <conditionalFormatting sqref="AQ18">
    <cfRule type="containsBlanks" dxfId="90" priority="111">
      <formula>LEN(TRIM(AQ18))=0</formula>
    </cfRule>
    <cfRule type="containsBlanks" priority="112">
      <formula>LEN(TRIM(AQ18))=0</formula>
    </cfRule>
  </conditionalFormatting>
  <conditionalFormatting sqref="AQ6">
    <cfRule type="containsBlanks" dxfId="89" priority="109">
      <formula>LEN(TRIM(AQ6))=0</formula>
    </cfRule>
    <cfRule type="containsBlanks" priority="110">
      <formula>LEN(TRIM(AQ6))=0</formula>
    </cfRule>
  </conditionalFormatting>
  <conditionalFormatting sqref="AQ6">
    <cfRule type="containsBlanks" dxfId="88" priority="107">
      <formula>LEN(TRIM(AQ6))=0</formula>
    </cfRule>
    <cfRule type="containsBlanks" priority="108">
      <formula>LEN(TRIM(AQ6))=0</formula>
    </cfRule>
  </conditionalFormatting>
  <conditionalFormatting sqref="AQ6">
    <cfRule type="containsBlanks" dxfId="87" priority="105">
      <formula>LEN(TRIM(AQ6))=0</formula>
    </cfRule>
    <cfRule type="containsBlanks" priority="106">
      <formula>LEN(TRIM(AQ6))=0</formula>
    </cfRule>
  </conditionalFormatting>
  <conditionalFormatting sqref="AQ6">
    <cfRule type="containsBlanks" dxfId="86" priority="103">
      <formula>LEN(TRIM(AQ6))=0</formula>
    </cfRule>
    <cfRule type="containsBlanks" priority="104">
      <formula>LEN(TRIM(AQ6))=0</formula>
    </cfRule>
  </conditionalFormatting>
  <conditionalFormatting sqref="AQ4">
    <cfRule type="containsBlanks" dxfId="85" priority="101">
      <formula>LEN(TRIM(AQ4))=0</formula>
    </cfRule>
    <cfRule type="containsBlanks" priority="102">
      <formula>LEN(TRIM(AQ4))=0</formula>
    </cfRule>
  </conditionalFormatting>
  <conditionalFormatting sqref="AQ5">
    <cfRule type="containsBlanks" dxfId="84" priority="99">
      <formula>LEN(TRIM(AQ5))=0</formula>
    </cfRule>
    <cfRule type="containsBlanks" priority="100">
      <formula>LEN(TRIM(AQ5))=0</formula>
    </cfRule>
  </conditionalFormatting>
  <conditionalFormatting sqref="AQ16">
    <cfRule type="containsBlanks" dxfId="83" priority="97">
      <formula>LEN(TRIM(AQ16))=0</formula>
    </cfRule>
    <cfRule type="containsBlanks" priority="98">
      <formula>LEN(TRIM(AQ16))=0</formula>
    </cfRule>
  </conditionalFormatting>
  <conditionalFormatting sqref="AQ17">
    <cfRule type="containsBlanks" dxfId="82" priority="95">
      <formula>LEN(TRIM(AQ17))=0</formula>
    </cfRule>
    <cfRule type="containsBlanks" priority="96">
      <formula>LEN(TRIM(AQ17))=0</formula>
    </cfRule>
  </conditionalFormatting>
  <conditionalFormatting sqref="AP10:AR10">
    <cfRule type="containsBlanks" dxfId="81" priority="93">
      <formula>LEN(TRIM(AP10))=0</formula>
    </cfRule>
    <cfRule type="containsBlanks" priority="94">
      <formula>LEN(TRIM(AP10))=0</formula>
    </cfRule>
  </conditionalFormatting>
  <conditionalFormatting sqref="AP10:AR10">
    <cfRule type="containsBlanks" dxfId="80" priority="91">
      <formula>LEN(TRIM(AP10))=0</formula>
    </cfRule>
    <cfRule type="containsBlanks" priority="92">
      <formula>LEN(TRIM(AP10))=0</formula>
    </cfRule>
  </conditionalFormatting>
  <conditionalFormatting sqref="AP10:AR10">
    <cfRule type="containsBlanks" dxfId="79" priority="89">
      <formula>LEN(TRIM(AP10))=0</formula>
    </cfRule>
    <cfRule type="containsBlanks" priority="90">
      <formula>LEN(TRIM(AP10))=0</formula>
    </cfRule>
  </conditionalFormatting>
  <conditionalFormatting sqref="AP10:AR10">
    <cfRule type="containsBlanks" dxfId="78" priority="87">
      <formula>LEN(TRIM(AP10))=0</formula>
    </cfRule>
    <cfRule type="containsBlanks" priority="88">
      <formula>LEN(TRIM(AP10))=0</formula>
    </cfRule>
  </conditionalFormatting>
  <conditionalFormatting sqref="AP8:AR8">
    <cfRule type="containsBlanks" dxfId="77" priority="85">
      <formula>LEN(TRIM(AP8))=0</formula>
    </cfRule>
    <cfRule type="containsBlanks" priority="86">
      <formula>LEN(TRIM(AP8))=0</formula>
    </cfRule>
  </conditionalFormatting>
  <conditionalFormatting sqref="AP9:AR9">
    <cfRule type="containsBlanks" dxfId="76" priority="83">
      <formula>LEN(TRIM(AP9))=0</formula>
    </cfRule>
    <cfRule type="containsBlanks" priority="84">
      <formula>LEN(TRIM(AP9))=0</formula>
    </cfRule>
  </conditionalFormatting>
  <conditionalFormatting sqref="AR6">
    <cfRule type="containsBlanks" dxfId="68" priority="67">
      <formula>LEN(TRIM(AR6))=0</formula>
    </cfRule>
    <cfRule type="containsBlanks" priority="68">
      <formula>LEN(TRIM(AR6))=0</formula>
    </cfRule>
  </conditionalFormatting>
  <conditionalFormatting sqref="AR6">
    <cfRule type="containsBlanks" dxfId="66" priority="65">
      <formula>LEN(TRIM(AR6))=0</formula>
    </cfRule>
    <cfRule type="containsBlanks" priority="66">
      <formula>LEN(TRIM(AR6))=0</formula>
    </cfRule>
  </conditionalFormatting>
  <conditionalFormatting sqref="AR6">
    <cfRule type="containsBlanks" dxfId="64" priority="63">
      <formula>LEN(TRIM(AR6))=0</formula>
    </cfRule>
    <cfRule type="containsBlanks" priority="64">
      <formula>LEN(TRIM(AR6))=0</formula>
    </cfRule>
  </conditionalFormatting>
  <conditionalFormatting sqref="AR6">
    <cfRule type="containsBlanks" dxfId="62" priority="61">
      <formula>LEN(TRIM(AR6))=0</formula>
    </cfRule>
    <cfRule type="containsBlanks" priority="62">
      <formula>LEN(TRIM(AR6))=0</formula>
    </cfRule>
  </conditionalFormatting>
  <conditionalFormatting sqref="AR4">
    <cfRule type="containsBlanks" dxfId="60" priority="59">
      <formula>LEN(TRIM(AR4))=0</formula>
    </cfRule>
    <cfRule type="containsBlanks" priority="60">
      <formula>LEN(TRIM(AR4))=0</formula>
    </cfRule>
  </conditionalFormatting>
  <conditionalFormatting sqref="AR5">
    <cfRule type="containsBlanks" dxfId="58" priority="57">
      <formula>LEN(TRIM(AR5))=0</formula>
    </cfRule>
    <cfRule type="containsBlanks" priority="58">
      <formula>LEN(TRIM(AR5))=0</formula>
    </cfRule>
  </conditionalFormatting>
  <conditionalFormatting sqref="AP14">
    <cfRule type="containsBlanks" dxfId="55" priority="55">
      <formula>LEN(TRIM(AP14))=0</formula>
    </cfRule>
    <cfRule type="containsBlanks" priority="56">
      <formula>LEN(TRIM(AP14))=0</formula>
    </cfRule>
  </conditionalFormatting>
  <conditionalFormatting sqref="AP14">
    <cfRule type="containsBlanks" dxfId="53" priority="53">
      <formula>LEN(TRIM(AP14))=0</formula>
    </cfRule>
    <cfRule type="containsBlanks" priority="54">
      <formula>LEN(TRIM(AP14))=0</formula>
    </cfRule>
  </conditionalFormatting>
  <conditionalFormatting sqref="AP14">
    <cfRule type="containsBlanks" dxfId="51" priority="51">
      <formula>LEN(TRIM(AP14))=0</formula>
    </cfRule>
    <cfRule type="containsBlanks" priority="52">
      <formula>LEN(TRIM(AP14))=0</formula>
    </cfRule>
  </conditionalFormatting>
  <conditionalFormatting sqref="AP14">
    <cfRule type="containsBlanks" dxfId="49" priority="49">
      <formula>LEN(TRIM(AP14))=0</formula>
    </cfRule>
    <cfRule type="containsBlanks" priority="50">
      <formula>LEN(TRIM(AP14))=0</formula>
    </cfRule>
  </conditionalFormatting>
  <conditionalFormatting sqref="AP14">
    <cfRule type="containsBlanks" dxfId="47" priority="47">
      <formula>LEN(TRIM(AP14))=0</formula>
    </cfRule>
    <cfRule type="containsBlanks" priority="48">
      <formula>LEN(TRIM(AP14))=0</formula>
    </cfRule>
  </conditionalFormatting>
  <conditionalFormatting sqref="AP14">
    <cfRule type="containsBlanks" dxfId="45" priority="45">
      <formula>LEN(TRIM(AP14))=0</formula>
    </cfRule>
    <cfRule type="containsBlanks" priority="46">
      <formula>LEN(TRIM(AP14))=0</formula>
    </cfRule>
  </conditionalFormatting>
  <conditionalFormatting sqref="AP14">
    <cfRule type="containsBlanks" dxfId="43" priority="43">
      <formula>LEN(TRIM(AP14))=0</formula>
    </cfRule>
    <cfRule type="containsBlanks" priority="44">
      <formula>LEN(TRIM(AP14))=0</formula>
    </cfRule>
  </conditionalFormatting>
  <conditionalFormatting sqref="AP14">
    <cfRule type="containsBlanks" dxfId="41" priority="41">
      <formula>LEN(TRIM(AP14))=0</formula>
    </cfRule>
    <cfRule type="containsBlanks" priority="42">
      <formula>LEN(TRIM(AP14))=0</formula>
    </cfRule>
  </conditionalFormatting>
  <conditionalFormatting sqref="AP12">
    <cfRule type="containsBlanks" dxfId="39" priority="39">
      <formula>LEN(TRIM(AP12))=0</formula>
    </cfRule>
    <cfRule type="containsBlanks" priority="40">
      <formula>LEN(TRIM(AP12))=0</formula>
    </cfRule>
  </conditionalFormatting>
  <conditionalFormatting sqref="AP13">
    <cfRule type="containsBlanks" dxfId="37" priority="37">
      <formula>LEN(TRIM(AP13))=0</formula>
    </cfRule>
    <cfRule type="containsBlanks" priority="38">
      <formula>LEN(TRIM(AP13))=0</formula>
    </cfRule>
  </conditionalFormatting>
  <conditionalFormatting sqref="AQ14">
    <cfRule type="containsBlanks" dxfId="35" priority="35">
      <formula>LEN(TRIM(AQ14))=0</formula>
    </cfRule>
    <cfRule type="containsBlanks" priority="36">
      <formula>LEN(TRIM(AQ14))=0</formula>
    </cfRule>
  </conditionalFormatting>
  <conditionalFormatting sqref="AQ14">
    <cfRule type="containsBlanks" dxfId="33" priority="33">
      <formula>LEN(TRIM(AQ14))=0</formula>
    </cfRule>
    <cfRule type="containsBlanks" priority="34">
      <formula>LEN(TRIM(AQ14))=0</formula>
    </cfRule>
  </conditionalFormatting>
  <conditionalFormatting sqref="AQ14">
    <cfRule type="containsBlanks" dxfId="31" priority="31">
      <formula>LEN(TRIM(AQ14))=0</formula>
    </cfRule>
    <cfRule type="containsBlanks" priority="32">
      <formula>LEN(TRIM(AQ14))=0</formula>
    </cfRule>
  </conditionalFormatting>
  <conditionalFormatting sqref="AQ14">
    <cfRule type="containsBlanks" dxfId="29" priority="29">
      <formula>LEN(TRIM(AQ14))=0</formula>
    </cfRule>
    <cfRule type="containsBlanks" priority="30">
      <formula>LEN(TRIM(AQ14))=0</formula>
    </cfRule>
  </conditionalFormatting>
  <conditionalFormatting sqref="AQ12">
    <cfRule type="containsBlanks" dxfId="27" priority="27">
      <formula>LEN(TRIM(AQ12))=0</formula>
    </cfRule>
    <cfRule type="containsBlanks" priority="28">
      <formula>LEN(TRIM(AQ12))=0</formula>
    </cfRule>
  </conditionalFormatting>
  <conditionalFormatting sqref="AQ13">
    <cfRule type="containsBlanks" dxfId="25" priority="25">
      <formula>LEN(TRIM(AQ13))=0</formula>
    </cfRule>
    <cfRule type="containsBlanks" priority="26">
      <formula>LEN(TRIM(AQ13))=0</formula>
    </cfRule>
  </conditionalFormatting>
  <conditionalFormatting sqref="AR14">
    <cfRule type="containsBlanks" dxfId="23" priority="23">
      <formula>LEN(TRIM(AR14))=0</formula>
    </cfRule>
    <cfRule type="containsBlanks" priority="24">
      <formula>LEN(TRIM(AR14))=0</formula>
    </cfRule>
  </conditionalFormatting>
  <conditionalFormatting sqref="AR14">
    <cfRule type="containsBlanks" dxfId="21" priority="21">
      <formula>LEN(TRIM(AR14))=0</formula>
    </cfRule>
    <cfRule type="containsBlanks" priority="22">
      <formula>LEN(TRIM(AR14))=0</formula>
    </cfRule>
  </conditionalFormatting>
  <conditionalFormatting sqref="AR14">
    <cfRule type="containsBlanks" dxfId="19" priority="19">
      <formula>LEN(TRIM(AR14))=0</formula>
    </cfRule>
    <cfRule type="containsBlanks" priority="20">
      <formula>LEN(TRIM(AR14))=0</formula>
    </cfRule>
  </conditionalFormatting>
  <conditionalFormatting sqref="AR14">
    <cfRule type="containsBlanks" dxfId="17" priority="17">
      <formula>LEN(TRIM(AR14))=0</formula>
    </cfRule>
    <cfRule type="containsBlanks" priority="18">
      <formula>LEN(TRIM(AR14))=0</formula>
    </cfRule>
  </conditionalFormatting>
  <conditionalFormatting sqref="AR12">
    <cfRule type="containsBlanks" dxfId="15" priority="15">
      <formula>LEN(TRIM(AR12))=0</formula>
    </cfRule>
    <cfRule type="containsBlanks" priority="16">
      <formula>LEN(TRIM(AR12))=0</formula>
    </cfRule>
  </conditionalFormatting>
  <conditionalFormatting sqref="AR13">
    <cfRule type="containsBlanks" dxfId="13" priority="13">
      <formula>LEN(TRIM(AR13))=0</formula>
    </cfRule>
    <cfRule type="containsBlanks" priority="14">
      <formula>LEN(TRIM(AR13))=0</formula>
    </cfRule>
  </conditionalFormatting>
  <conditionalFormatting sqref="AR18">
    <cfRule type="containsBlanks" dxfId="11" priority="11">
      <formula>LEN(TRIM(AR18))=0</formula>
    </cfRule>
    <cfRule type="containsBlanks" priority="12">
      <formula>LEN(TRIM(AR18))=0</formula>
    </cfRule>
  </conditionalFormatting>
  <conditionalFormatting sqref="AR18">
    <cfRule type="containsBlanks" dxfId="9" priority="9">
      <formula>LEN(TRIM(AR18))=0</formula>
    </cfRule>
    <cfRule type="containsBlanks" priority="10">
      <formula>LEN(TRIM(AR18))=0</formula>
    </cfRule>
  </conditionalFormatting>
  <conditionalFormatting sqref="AR18">
    <cfRule type="containsBlanks" dxfId="7" priority="7">
      <formula>LEN(TRIM(AR18))=0</formula>
    </cfRule>
    <cfRule type="containsBlanks" priority="8">
      <formula>LEN(TRIM(AR18))=0</formula>
    </cfRule>
  </conditionalFormatting>
  <conditionalFormatting sqref="AR18">
    <cfRule type="containsBlanks" dxfId="5" priority="5">
      <formula>LEN(TRIM(AR18))=0</formula>
    </cfRule>
    <cfRule type="containsBlanks" priority="6">
      <formula>LEN(TRIM(AR18))=0</formula>
    </cfRule>
  </conditionalFormatting>
  <conditionalFormatting sqref="AR16">
    <cfRule type="containsBlanks" dxfId="3" priority="3">
      <formula>LEN(TRIM(AR16))=0</formula>
    </cfRule>
    <cfRule type="containsBlanks" priority="4">
      <formula>LEN(TRIM(AR16))=0</formula>
    </cfRule>
  </conditionalFormatting>
  <conditionalFormatting sqref="AR17">
    <cfRule type="containsBlanks" dxfId="1" priority="1">
      <formula>LEN(TRIM(AR17))=0</formula>
    </cfRule>
    <cfRule type="containsBlanks" priority="2">
      <formula>LEN(TRIM(AR17))=0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Drona Value Chain </vt:lpstr>
      <vt:lpstr>Sheet1</vt:lpstr>
      <vt:lpstr>ONROLL</vt:lpstr>
      <vt:lpstr>On Roll Staff Farukh Nagar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Akrati Singh</dc:creator>
  <cp:lastModifiedBy>Sunil</cp:lastModifiedBy>
  <dcterms:created xsi:type="dcterms:W3CDTF">2025-05-01T10:06:43Z</dcterms:created>
  <dcterms:modified xsi:type="dcterms:W3CDTF">2025-12-01T05:47:20Z</dcterms:modified>
</cp:coreProperties>
</file>